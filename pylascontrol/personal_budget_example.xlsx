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a3553a7339c9c0b/Documentos/Financeiro/"/>
    </mc:Choice>
  </mc:AlternateContent>
  <xr:revisionPtr revIDLastSave="9113" documentId="8_{7491D930-F530-4B72-AF63-3C0BA41E6D10}" xr6:coauthVersionLast="47" xr6:coauthVersionMax="47" xr10:uidLastSave="{E5277EB2-8FEE-41DB-8223-F8C35CBBBD75}"/>
  <bookViews>
    <workbookView xWindow="-29025" yWindow="-6675" windowWidth="29040" windowHeight="15720" tabRatio="785" xr2:uid="{00000000-000D-0000-FFFF-FFFF00000000}"/>
  </bookViews>
  <sheets>
    <sheet name="ORÇAMENTO PESSOAL" sheetId="1" r:id="rId1"/>
  </sheets>
  <definedNames>
    <definedName name="ÁreaDeImpressão_DEFINIR">OFFSET('ORÇAMENTO PESSOAL'!#REF!,,,MATCH(REPT("z",255),'ORÇAMENTO PESSOAL'!$A:$A),ÚltCol)</definedName>
    <definedName name="GastosNaoEssenciais">#REF!</definedName>
    <definedName name="ÚltCol">COUNTA('ORÇAMENTO PESSOAL'!$2:$2)+1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1" i="1" l="1"/>
  <c r="F82" i="1"/>
  <c r="N5" i="1" l="1"/>
  <c r="N6" i="1"/>
  <c r="N7" i="1"/>
  <c r="N4" i="1"/>
  <c r="F80" i="1" l="1"/>
  <c r="N75" i="1" l="1"/>
  <c r="N12" i="1" l="1"/>
  <c r="N52" i="1"/>
  <c r="N57" i="1"/>
  <c r="N58" i="1"/>
  <c r="N59" i="1"/>
  <c r="N60" i="1"/>
  <c r="N61" i="1"/>
  <c r="N62" i="1"/>
  <c r="N74" i="1"/>
  <c r="B71" i="1"/>
  <c r="B46" i="1"/>
  <c r="B38" i="1"/>
  <c r="B33" i="1"/>
  <c r="B27" i="1"/>
  <c r="N66" i="1"/>
  <c r="N67" i="1"/>
  <c r="N68" i="1"/>
  <c r="N69" i="1"/>
  <c r="N70" i="1"/>
  <c r="N41" i="1"/>
  <c r="N42" i="1"/>
  <c r="N43" i="1"/>
  <c r="N44" i="1"/>
  <c r="N45" i="1"/>
  <c r="N36" i="1"/>
  <c r="N37" i="1"/>
  <c r="N30" i="1"/>
  <c r="N31" i="1"/>
  <c r="N32" i="1"/>
  <c r="N25" i="1"/>
  <c r="N26" i="1"/>
  <c r="C83" i="1"/>
  <c r="C77" i="1"/>
  <c r="C71" i="1"/>
  <c r="C63" i="1"/>
  <c r="C46" i="1"/>
  <c r="C38" i="1"/>
  <c r="C33" i="1"/>
  <c r="C27" i="1"/>
  <c r="C22" i="1"/>
  <c r="C16" i="1"/>
  <c r="D8" i="1"/>
  <c r="D83" i="1"/>
  <c r="D77" i="1"/>
  <c r="D71" i="1"/>
  <c r="D63" i="1"/>
  <c r="D53" i="1"/>
  <c r="D46" i="1"/>
  <c r="D38" i="1"/>
  <c r="D33" i="1"/>
  <c r="D27" i="1"/>
  <c r="D22" i="1"/>
  <c r="D16" i="1"/>
  <c r="E8" i="1"/>
  <c r="E83" i="1"/>
  <c r="E77" i="1"/>
  <c r="E71" i="1"/>
  <c r="E63" i="1"/>
  <c r="E53" i="1"/>
  <c r="E46" i="1"/>
  <c r="E38" i="1"/>
  <c r="E33" i="1"/>
  <c r="E27" i="1"/>
  <c r="E22" i="1"/>
  <c r="E16" i="1"/>
  <c r="F8" i="1"/>
  <c r="F83" i="1"/>
  <c r="F77" i="1"/>
  <c r="F71" i="1"/>
  <c r="F63" i="1"/>
  <c r="F53" i="1"/>
  <c r="F46" i="1"/>
  <c r="F38" i="1"/>
  <c r="F33" i="1"/>
  <c r="F27" i="1"/>
  <c r="F22" i="1"/>
  <c r="F16" i="1"/>
  <c r="G8" i="1"/>
  <c r="G83" i="1"/>
  <c r="G77" i="1"/>
  <c r="G71" i="1"/>
  <c r="G63" i="1"/>
  <c r="G53" i="1"/>
  <c r="G46" i="1"/>
  <c r="G38" i="1"/>
  <c r="G33" i="1"/>
  <c r="G27" i="1"/>
  <c r="G22" i="1"/>
  <c r="G16" i="1"/>
  <c r="H8" i="1"/>
  <c r="H83" i="1"/>
  <c r="H77" i="1"/>
  <c r="H71" i="1"/>
  <c r="H63" i="1"/>
  <c r="H53" i="1"/>
  <c r="H46" i="1"/>
  <c r="H38" i="1"/>
  <c r="H33" i="1"/>
  <c r="H27" i="1"/>
  <c r="H22" i="1"/>
  <c r="H16" i="1"/>
  <c r="I8" i="1"/>
  <c r="I83" i="1"/>
  <c r="I77" i="1"/>
  <c r="I71" i="1"/>
  <c r="I63" i="1"/>
  <c r="I53" i="1"/>
  <c r="I46" i="1"/>
  <c r="I38" i="1"/>
  <c r="I33" i="1"/>
  <c r="I27" i="1"/>
  <c r="I22" i="1"/>
  <c r="I16" i="1"/>
  <c r="J8" i="1"/>
  <c r="J83" i="1"/>
  <c r="J77" i="1"/>
  <c r="J71" i="1"/>
  <c r="J63" i="1"/>
  <c r="J53" i="1"/>
  <c r="J46" i="1"/>
  <c r="J38" i="1"/>
  <c r="J33" i="1"/>
  <c r="J27" i="1"/>
  <c r="J22" i="1"/>
  <c r="J16" i="1"/>
  <c r="K8" i="1"/>
  <c r="K83" i="1"/>
  <c r="K77" i="1"/>
  <c r="K71" i="1"/>
  <c r="K63" i="1"/>
  <c r="K53" i="1"/>
  <c r="K46" i="1"/>
  <c r="K38" i="1"/>
  <c r="K33" i="1"/>
  <c r="K27" i="1"/>
  <c r="K22" i="1"/>
  <c r="K16" i="1"/>
  <c r="L8" i="1"/>
  <c r="L83" i="1"/>
  <c r="L77" i="1"/>
  <c r="L71" i="1"/>
  <c r="L63" i="1"/>
  <c r="L53" i="1"/>
  <c r="L46" i="1"/>
  <c r="L38" i="1"/>
  <c r="L33" i="1"/>
  <c r="L27" i="1"/>
  <c r="L22" i="1"/>
  <c r="L16" i="1"/>
  <c r="M8" i="1"/>
  <c r="M83" i="1"/>
  <c r="M77" i="1"/>
  <c r="M71" i="1"/>
  <c r="M63" i="1"/>
  <c r="M53" i="1"/>
  <c r="M46" i="1"/>
  <c r="M38" i="1"/>
  <c r="M33" i="1"/>
  <c r="M27" i="1"/>
  <c r="M22" i="1"/>
  <c r="M16" i="1"/>
  <c r="N51" i="1" l="1"/>
  <c r="N50" i="1"/>
  <c r="N56" i="1"/>
  <c r="N14" i="1"/>
  <c r="N15" i="1"/>
  <c r="N13" i="1"/>
  <c r="N76" i="1"/>
  <c r="N21" i="1"/>
  <c r="N19" i="1"/>
  <c r="N20" i="1"/>
  <c r="N38" i="1"/>
  <c r="N71" i="1"/>
  <c r="J86" i="1"/>
  <c r="J87" i="1" s="1"/>
  <c r="N27" i="1"/>
  <c r="D86" i="1"/>
  <c r="D87" i="1" s="1"/>
  <c r="N33" i="1"/>
  <c r="K86" i="1"/>
  <c r="K87" i="1" s="1"/>
  <c r="E86" i="1"/>
  <c r="E87" i="1" s="1"/>
  <c r="N46" i="1"/>
  <c r="F86" i="1"/>
  <c r="F87" i="1" s="1"/>
  <c r="M86" i="1"/>
  <c r="M87" i="1" s="1"/>
  <c r="I86" i="1"/>
  <c r="I87" i="1" s="1"/>
  <c r="G86" i="1"/>
  <c r="G87" i="1" s="1"/>
  <c r="L86" i="1"/>
  <c r="L87" i="1" s="1"/>
  <c r="H86" i="1"/>
  <c r="H87" i="1" s="1"/>
  <c r="B53" i="1"/>
  <c r="B22" i="1"/>
  <c r="B16" i="1"/>
  <c r="B77" i="1"/>
  <c r="B83" i="1"/>
  <c r="B8" i="1"/>
  <c r="B63" i="1"/>
  <c r="N63" i="1" l="1"/>
  <c r="N77" i="1"/>
  <c r="N16" i="1"/>
  <c r="N83" i="1"/>
  <c r="N22" i="1"/>
  <c r="B86" i="1"/>
  <c r="B87" i="1" s="1"/>
  <c r="N8" i="1" l="1"/>
  <c r="C8" i="1"/>
  <c r="N49" i="1"/>
  <c r="N53" i="1" s="1"/>
  <c r="N86" i="1" s="1"/>
  <c r="C53" i="1"/>
  <c r="C86" i="1" s="1"/>
  <c r="N87" i="1" l="1"/>
  <c r="C8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Rosa</author>
  </authors>
  <commentList>
    <comment ref="A3" authorId="0" shapeId="0" xr:uid="{FBDD0BDD-D95A-4687-BF34-76EBAD48411E}">
      <text>
        <r>
          <rPr>
            <b/>
            <sz val="9"/>
            <color indexed="81"/>
            <rFont val="Segoe UI"/>
            <family val="2"/>
          </rPr>
          <t>Rodrigo Rosa:</t>
        </r>
        <r>
          <rPr>
            <sz val="9"/>
            <color indexed="81"/>
            <rFont val="Segoe UI"/>
            <family val="2"/>
          </rPr>
          <t xml:space="preserve">
Todas entradas de dinheiro. Nessa planilha é considerado o salário líquido</t>
        </r>
      </text>
    </comment>
    <comment ref="A83" authorId="0" shapeId="0" xr:uid="{2E85D6CD-F680-4037-B498-36E50A2A0FDB}">
      <text>
        <r>
          <rPr>
            <b/>
            <sz val="9"/>
            <color indexed="81"/>
            <rFont val="Segoe UI"/>
            <family val="2"/>
          </rPr>
          <t>Rodrigo Rosa:</t>
        </r>
        <r>
          <rPr>
            <sz val="9"/>
            <color indexed="81"/>
            <rFont val="Segoe UI"/>
            <family val="2"/>
          </rPr>
          <t xml:space="preserve">
Se as células estiverem vermelhas significa que os aportes estão abaixo do aporte mensal planejado</t>
        </r>
      </text>
    </comment>
  </commentList>
</comments>
</file>

<file path=xl/sharedStrings.xml><?xml version="1.0" encoding="utf-8"?>
<sst xmlns="http://schemas.openxmlformats.org/spreadsheetml/2006/main" count="282" uniqueCount="87">
  <si>
    <t>RECEITA</t>
  </si>
  <si>
    <t>Total</t>
  </si>
  <si>
    <t>DESPESAS</t>
  </si>
  <si>
    <t>DOMÉSTICAS</t>
  </si>
  <si>
    <t>Cotidiano</t>
  </si>
  <si>
    <t>TRANSPORTE</t>
  </si>
  <si>
    <t>ENTRETENIMENTO</t>
  </si>
  <si>
    <t>Cinema/teatro</t>
  </si>
  <si>
    <t>Shows/clubes</t>
  </si>
  <si>
    <t>SAÚDE</t>
  </si>
  <si>
    <t>FÉRIAS</t>
  </si>
  <si>
    <t>Passagens de avião</t>
  </si>
  <si>
    <t>Acomodações</t>
  </si>
  <si>
    <t>Alimentação</t>
  </si>
  <si>
    <t>Souvenirs</t>
  </si>
  <si>
    <t>LAZER</t>
  </si>
  <si>
    <t>PESSOAIS</t>
  </si>
  <si>
    <t>Vestuário</t>
  </si>
  <si>
    <t>Presentes</t>
  </si>
  <si>
    <t>Salão/barbeiro</t>
  </si>
  <si>
    <t>Livros</t>
  </si>
  <si>
    <t>Música (CDs, etc.)</t>
  </si>
  <si>
    <t>OBRIGAÇÕES FINANCEIRAS</t>
  </si>
  <si>
    <t>Outros</t>
  </si>
  <si>
    <t>TOTAIS</t>
  </si>
  <si>
    <t>Despesas totais</t>
  </si>
  <si>
    <t>Diferença de caixa</t>
  </si>
  <si>
    <t>JAN</t>
  </si>
  <si>
    <t>Janeiro</t>
  </si>
  <si>
    <t>FEV</t>
  </si>
  <si>
    <t>Fevereiro</t>
  </si>
  <si>
    <t>MAR</t>
  </si>
  <si>
    <t>Março</t>
  </si>
  <si>
    <t>ABR</t>
  </si>
  <si>
    <t>Abr</t>
  </si>
  <si>
    <t>MAIO</t>
  </si>
  <si>
    <t>Maio</t>
  </si>
  <si>
    <t>Mai</t>
  </si>
  <si>
    <t>JUN</t>
  </si>
  <si>
    <t>Jun</t>
  </si>
  <si>
    <t>JUL</t>
  </si>
  <si>
    <t>Julho</t>
  </si>
  <si>
    <t>AGO</t>
  </si>
  <si>
    <t>Agosto</t>
  </si>
  <si>
    <t>SET</t>
  </si>
  <si>
    <t>Setembro</t>
  </si>
  <si>
    <t>OUT</t>
  </si>
  <si>
    <t>Outubro</t>
  </si>
  <si>
    <t>NOV</t>
  </si>
  <si>
    <t>Novembro</t>
  </si>
  <si>
    <t>DEZ</t>
  </si>
  <si>
    <t>Dezembro</t>
  </si>
  <si>
    <t>ANO</t>
  </si>
  <si>
    <t>Ano</t>
  </si>
  <si>
    <t>Minigráfico</t>
  </si>
  <si>
    <t>MINIGRÁFICO</t>
  </si>
  <si>
    <t>Poupança</t>
  </si>
  <si>
    <t>Gás</t>
  </si>
  <si>
    <t>Energia Elétrica</t>
  </si>
  <si>
    <t>Internet, TV, Celular</t>
  </si>
  <si>
    <t>Uber</t>
  </si>
  <si>
    <t>Passagens de ônibus</t>
  </si>
  <si>
    <t>Vídeo Games</t>
  </si>
  <si>
    <t>Netflix</t>
  </si>
  <si>
    <t>Amazon Prime</t>
  </si>
  <si>
    <t>Apple TV</t>
  </si>
  <si>
    <t>Disney+</t>
  </si>
  <si>
    <t>Spotfy</t>
  </si>
  <si>
    <t>APORTES</t>
  </si>
  <si>
    <t>Previdência</t>
  </si>
  <si>
    <t>Jogos Mobile</t>
  </si>
  <si>
    <t>Condomínio</t>
  </si>
  <si>
    <t>Restaurantes</t>
  </si>
  <si>
    <t>Salário Líquido</t>
  </si>
  <si>
    <t>Farmácias</t>
  </si>
  <si>
    <t>Parques/Praças</t>
  </si>
  <si>
    <t>Steam</t>
  </si>
  <si>
    <t>Outra Receita</t>
  </si>
  <si>
    <t>Supermercado</t>
  </si>
  <si>
    <t>Feira</t>
  </si>
  <si>
    <t>Faculdade</t>
  </si>
  <si>
    <t>HBO</t>
  </si>
  <si>
    <t>Cartão de Crédito</t>
  </si>
  <si>
    <t>IPTU</t>
  </si>
  <si>
    <t>IPVA</t>
  </si>
  <si>
    <t>Ações</t>
  </si>
  <si>
    <t>MENSALIDADES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</si>
</sst>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&quot;R$&quot;\ #,##0.00"/>
    <numFmt numFmtId="167" formatCode="&quot;$&quot;#,##0.00"/>
  </numFmts>
  <fonts count="36" x14ac:knownFonts="1">
    <font>
      <sz val="10"/>
      <color theme="1" tint="0.14993743705557422"/>
      <name val="verdana"/>
      <family val="2"/>
      <scheme val="minor"/>
    </font>
    <font>
      <sz val="11"/>
      <color theme="1"/>
      <name val="verdana"/>
      <family val="2"/>
      <scheme val="minor"/>
    </font>
    <font>
      <b/>
      <sz val="10"/>
      <color theme="1" tint="0.14990691854609822"/>
      <name val="Gill Sans MT"/>
      <family val="2"/>
      <scheme val="major"/>
    </font>
    <font>
      <sz val="11"/>
      <color theme="1" tint="0.14993743705557422"/>
      <name val="Gill Sans MT"/>
      <family val="2"/>
      <scheme val="major"/>
    </font>
    <font>
      <sz val="22"/>
      <color theme="1" tint="0.14993743705557422"/>
      <name val="Gill Sans MT"/>
      <family val="2"/>
      <scheme val="major"/>
    </font>
    <font>
      <sz val="10"/>
      <color theme="4" tint="-0.499984740745262"/>
      <name val="verdana"/>
      <family val="2"/>
      <scheme val="minor"/>
    </font>
    <font>
      <sz val="10"/>
      <color theme="5" tint="-0.499984740745262"/>
      <name val="verdana"/>
      <family val="2"/>
      <scheme val="minor"/>
    </font>
    <font>
      <sz val="11"/>
      <color theme="1" tint="0.34998626667073579"/>
      <name val="Gill Sans MT"/>
      <family val="2"/>
      <scheme val="major"/>
    </font>
    <font>
      <b/>
      <sz val="10"/>
      <color theme="4"/>
      <name val="Gill Sans MT"/>
      <family val="2"/>
      <scheme val="major"/>
    </font>
    <font>
      <sz val="10"/>
      <color theme="0"/>
      <name val="verdana"/>
      <family val="2"/>
      <scheme val="minor"/>
    </font>
    <font>
      <b/>
      <sz val="10"/>
      <color theme="5"/>
      <name val="Gill Sans MT"/>
      <family val="2"/>
      <scheme val="major"/>
    </font>
    <font>
      <b/>
      <sz val="10"/>
      <color theme="0"/>
      <name val="Gill Sans MT"/>
      <family val="2"/>
      <scheme val="major"/>
    </font>
    <font>
      <b/>
      <sz val="10"/>
      <color theme="4"/>
      <name val="verdana"/>
      <family val="2"/>
      <scheme val="minor"/>
    </font>
    <font>
      <b/>
      <sz val="10"/>
      <color theme="5"/>
      <name val="verdana"/>
      <family val="2"/>
      <scheme val="minor"/>
    </font>
    <font>
      <sz val="10"/>
      <color theme="5" tint="0.79998168889431442"/>
      <name val="verdana"/>
      <family val="2"/>
      <scheme val="minor"/>
    </font>
    <font>
      <sz val="10"/>
      <color theme="4" tint="0.79998168889431442"/>
      <name val="verdana"/>
      <family val="2"/>
      <scheme val="minor"/>
    </font>
    <font>
      <b/>
      <sz val="10"/>
      <color theme="1"/>
      <name val="Gill Sans MT"/>
      <family val="2"/>
      <scheme val="major"/>
    </font>
    <font>
      <sz val="10"/>
      <color theme="1" tint="0.14993743705557422"/>
      <name val="verdana"/>
      <family val="2"/>
      <scheme val="minor"/>
    </font>
    <font>
      <sz val="18"/>
      <color theme="3"/>
      <name val="Gill Sans MT"/>
      <family val="2"/>
      <scheme val="major"/>
    </font>
    <font>
      <sz val="11"/>
      <color rgb="FF006100"/>
      <name val="verdana"/>
      <family val="2"/>
      <scheme val="minor"/>
    </font>
    <font>
      <sz val="11"/>
      <color rgb="FF9C0006"/>
      <name val="verdana"/>
      <family val="2"/>
      <scheme val="minor"/>
    </font>
    <font>
      <sz val="11"/>
      <color rgb="FF9C5700"/>
      <name val="verdana"/>
      <family val="2"/>
      <scheme val="minor"/>
    </font>
    <font>
      <sz val="11"/>
      <color rgb="FF3F3F76"/>
      <name val="verdana"/>
      <family val="2"/>
      <scheme val="minor"/>
    </font>
    <font>
      <b/>
      <sz val="11"/>
      <color rgb="FF3F3F3F"/>
      <name val="verdana"/>
      <family val="2"/>
      <scheme val="minor"/>
    </font>
    <font>
      <b/>
      <sz val="11"/>
      <color rgb="FFFA7D00"/>
      <name val="verdana"/>
      <family val="2"/>
      <scheme val="minor"/>
    </font>
    <font>
      <sz val="11"/>
      <color rgb="FFFA7D00"/>
      <name val="verdana"/>
      <family val="2"/>
      <scheme val="minor"/>
    </font>
    <font>
      <b/>
      <sz val="11"/>
      <color theme="0"/>
      <name val="verdana"/>
      <family val="2"/>
      <scheme val="minor"/>
    </font>
    <font>
      <sz val="11"/>
      <color rgb="FFFF0000"/>
      <name val="verdana"/>
      <family val="2"/>
      <scheme val="minor"/>
    </font>
    <font>
      <i/>
      <sz val="11"/>
      <color rgb="FF7F7F7F"/>
      <name val="verdana"/>
      <family val="2"/>
      <scheme val="minor"/>
    </font>
    <font>
      <b/>
      <sz val="11"/>
      <color theme="1"/>
      <name val="verdana"/>
      <family val="2"/>
      <scheme val="minor"/>
    </font>
    <font>
      <sz val="11"/>
      <color theme="0"/>
      <name val="verdana"/>
      <family val="2"/>
      <scheme val="minor"/>
    </font>
    <font>
      <b/>
      <sz val="10"/>
      <color theme="1" tint="0.14993743705557422"/>
      <name val="verdana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rgb="FF0E3E3F"/>
      <name val="verdana"/>
      <family val="2"/>
    </font>
    <font>
      <sz val="10"/>
      <color theme="1" tint="0.14993743705557422"/>
      <name val="verdana"/>
      <family val="2"/>
    </font>
  </fonts>
  <fills count="46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5" tint="0.80001220740379042"/>
        </stop>
      </gradient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E7F7"/>
        <bgColor rgb="FF000000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 style="thick">
        <color theme="5"/>
      </left>
      <right/>
      <top/>
      <bottom/>
      <diagonal/>
    </border>
    <border>
      <left style="thick">
        <color theme="4"/>
      </left>
      <right/>
      <top/>
      <bottom/>
      <diagonal/>
    </border>
    <border>
      <left style="medium">
        <color theme="4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medium">
        <color theme="4" tint="0.79998168889431442"/>
      </right>
      <top/>
      <bottom/>
      <diagonal/>
    </border>
    <border>
      <left/>
      <right style="medium">
        <color theme="5" tint="0.79998168889431442"/>
      </right>
      <top/>
      <bottom/>
      <diagonal/>
    </border>
    <border>
      <left style="thin">
        <color theme="5"/>
      </left>
      <right/>
      <top/>
      <bottom style="thick">
        <color theme="0"/>
      </bottom>
      <diagonal/>
    </border>
    <border>
      <left style="thick">
        <color theme="4"/>
      </left>
      <right/>
      <top/>
      <bottom style="thick">
        <color theme="0"/>
      </bottom>
      <diagonal/>
    </border>
    <border>
      <left style="thick">
        <color theme="5"/>
      </left>
      <right/>
      <top/>
      <bottom style="thick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12" borderId="0">
      <alignment vertical="center"/>
    </xf>
    <xf numFmtId="0" fontId="4" fillId="0" borderId="0" applyNumberFormat="0" applyFill="0" applyProtection="0">
      <alignment vertical="center"/>
    </xf>
    <xf numFmtId="0" fontId="3" fillId="0" borderId="1" applyNumberFormat="0" applyFill="0" applyProtection="0">
      <alignment vertical="center"/>
    </xf>
    <xf numFmtId="0" fontId="2" fillId="4" borderId="0" applyNumberFormat="0" applyProtection="0">
      <alignment horizontal="left" vertical="center" indent="1"/>
    </xf>
    <xf numFmtId="0" fontId="2" fillId="2" borderId="0" applyNumberFormat="0" applyProtection="0">
      <alignment vertical="center"/>
    </xf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1" fillId="15" borderId="0" applyNumberFormat="0" applyBorder="0" applyAlignment="0" applyProtection="0"/>
    <xf numFmtId="0" fontId="22" fillId="16" borderId="11" applyNumberFormat="0" applyAlignment="0" applyProtection="0"/>
    <xf numFmtId="0" fontId="23" fillId="17" borderId="12" applyNumberFormat="0" applyAlignment="0" applyProtection="0"/>
    <xf numFmtId="0" fontId="24" fillId="17" borderId="11" applyNumberFormat="0" applyAlignment="0" applyProtection="0"/>
    <xf numFmtId="0" fontId="25" fillId="0" borderId="13" applyNumberFormat="0" applyFill="0" applyAlignment="0" applyProtection="0"/>
    <xf numFmtId="0" fontId="26" fillId="18" borderId="14" applyNumberFormat="0" applyAlignment="0" applyProtection="0"/>
    <xf numFmtId="0" fontId="27" fillId="0" borderId="0" applyNumberFormat="0" applyFill="0" applyBorder="0" applyAlignment="0" applyProtection="0"/>
    <xf numFmtId="0" fontId="17" fillId="19" borderId="15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0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0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</cellStyleXfs>
  <cellXfs count="64">
    <xf numFmtId="0" fontId="0" fillId="12" borderId="0" xfId="0">
      <alignment vertical="center"/>
    </xf>
    <xf numFmtId="0" fontId="0" fillId="12" borderId="0" xfId="0" applyAlignment="1">
      <alignment horizontal="right" vertical="center"/>
    </xf>
    <xf numFmtId="0" fontId="0" fillId="0" borderId="0" xfId="0" applyFill="1" applyAlignment="1">
      <alignment horizontal="left" vertical="center" indent="1"/>
    </xf>
    <xf numFmtId="0" fontId="6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0" fontId="7" fillId="0" borderId="0" xfId="2" applyFont="1" applyBorder="1" applyAlignment="1">
      <alignment horizontal="left" vertical="center" indent="1"/>
    </xf>
    <xf numFmtId="0" fontId="7" fillId="0" borderId="0" xfId="2" applyFont="1" applyBorder="1" applyAlignment="1">
      <alignment horizontal="right" vertical="center"/>
    </xf>
    <xf numFmtId="0" fontId="8" fillId="0" borderId="0" xfId="3" applyFont="1" applyFill="1">
      <alignment horizontal="left" vertical="center" indent="1"/>
    </xf>
    <xf numFmtId="0" fontId="10" fillId="0" borderId="0" xfId="3" applyFont="1" applyFill="1">
      <alignment horizontal="left" vertical="center" indent="1"/>
    </xf>
    <xf numFmtId="0" fontId="8" fillId="0" borderId="0" xfId="0" applyFont="1" applyFill="1" applyAlignment="1">
      <alignment horizontal="left" vertical="center" indent="1"/>
    </xf>
    <xf numFmtId="0" fontId="0" fillId="10" borderId="0" xfId="0" applyFill="1" applyAlignment="1">
      <alignment horizontal="left" vertical="center" indent="1"/>
    </xf>
    <xf numFmtId="0" fontId="12" fillId="0" borderId="0" xfId="0" applyFont="1" applyFill="1" applyAlignment="1">
      <alignment horizontal="left" vertical="center" indent="1"/>
    </xf>
    <xf numFmtId="0" fontId="10" fillId="0" borderId="0" xfId="0" applyFont="1" applyFill="1" applyAlignment="1">
      <alignment horizontal="left" vertical="center" indent="1"/>
    </xf>
    <xf numFmtId="0" fontId="13" fillId="0" borderId="0" xfId="0" applyFont="1" applyFill="1" applyAlignment="1">
      <alignment horizontal="left" vertical="center" indent="1"/>
    </xf>
    <xf numFmtId="0" fontId="11" fillId="8" borderId="0" xfId="3" applyFont="1" applyFill="1">
      <alignment horizontal="left" vertical="center" indent="1"/>
    </xf>
    <xf numFmtId="0" fontId="11" fillId="8" borderId="0" xfId="3" applyFont="1" applyFill="1" applyAlignment="1">
      <alignment horizontal="right" vertical="center"/>
    </xf>
    <xf numFmtId="0" fontId="9" fillId="8" borderId="0" xfId="0" applyFont="1" applyFill="1" applyAlignment="1">
      <alignment horizontal="left" vertical="center" indent="1"/>
    </xf>
    <xf numFmtId="0" fontId="9" fillId="8" borderId="0" xfId="0" applyFont="1" applyFill="1">
      <alignment vertical="center"/>
    </xf>
    <xf numFmtId="0" fontId="11" fillId="9" borderId="0" xfId="3" applyFont="1" applyFill="1" applyAlignment="1">
      <alignment horizontal="right" vertical="center"/>
    </xf>
    <xf numFmtId="0" fontId="9" fillId="9" borderId="0" xfId="0" applyFont="1" applyFill="1">
      <alignment vertical="center"/>
    </xf>
    <xf numFmtId="0" fontId="8" fillId="10" borderId="0" xfId="0" applyFont="1" applyFill="1" applyAlignment="1">
      <alignment horizontal="left" vertical="center" indent="1"/>
    </xf>
    <xf numFmtId="0" fontId="0" fillId="0" borderId="2" xfId="0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 indent="1"/>
    </xf>
    <xf numFmtId="0" fontId="5" fillId="5" borderId="4" xfId="0" applyFont="1" applyFill="1" applyBorder="1" applyAlignment="1">
      <alignment horizontal="left" vertical="center" indent="1"/>
    </xf>
    <xf numFmtId="0" fontId="5" fillId="5" borderId="5" xfId="0" applyFont="1" applyFill="1" applyBorder="1" applyAlignment="1">
      <alignment horizontal="right" vertical="center"/>
    </xf>
    <xf numFmtId="0" fontId="9" fillId="10" borderId="0" xfId="0" applyFont="1" applyFill="1">
      <alignment vertical="center"/>
    </xf>
    <xf numFmtId="0" fontId="9" fillId="0" borderId="0" xfId="0" applyFont="1" applyFill="1" applyAlignment="1">
      <alignment horizontal="right" vertical="center"/>
    </xf>
    <xf numFmtId="0" fontId="14" fillId="7" borderId="0" xfId="0" applyFont="1" applyFill="1" applyAlignment="1">
      <alignment horizontal="right" vertical="center"/>
    </xf>
    <xf numFmtId="0" fontId="15" fillId="3" borderId="0" xfId="0" applyFont="1" applyFill="1">
      <alignment vertical="center"/>
    </xf>
    <xf numFmtId="0" fontId="15" fillId="3" borderId="6" xfId="0" applyFont="1" applyFill="1" applyBorder="1">
      <alignment vertical="center"/>
    </xf>
    <xf numFmtId="0" fontId="14" fillId="7" borderId="7" xfId="0" applyFont="1" applyFill="1" applyBorder="1" applyAlignment="1">
      <alignment horizontal="right" vertical="center"/>
    </xf>
    <xf numFmtId="0" fontId="15" fillId="3" borderId="6" xfId="0" applyFont="1" applyFill="1" applyBorder="1" applyAlignment="1">
      <alignment horizontal="right" vertical="center"/>
    </xf>
    <xf numFmtId="0" fontId="6" fillId="5" borderId="8" xfId="0" applyFont="1" applyFill="1" applyBorder="1" applyAlignment="1">
      <alignment horizontal="left" vertical="center" indent="1"/>
    </xf>
    <xf numFmtId="0" fontId="6" fillId="5" borderId="5" xfId="0" applyFont="1" applyFill="1" applyBorder="1" applyAlignment="1">
      <alignment horizontal="right" vertical="center"/>
    </xf>
    <xf numFmtId="0" fontId="0" fillId="5" borderId="9" xfId="0" applyFill="1" applyBorder="1" applyAlignment="1">
      <alignment horizontal="left" vertical="center" indent="1"/>
    </xf>
    <xf numFmtId="0" fontId="0" fillId="5" borderId="5" xfId="0" applyFill="1" applyBorder="1" applyAlignment="1">
      <alignment horizontal="right" vertical="center"/>
    </xf>
    <xf numFmtId="0" fontId="0" fillId="5" borderId="10" xfId="0" applyFill="1" applyBorder="1" applyAlignment="1">
      <alignment horizontal="left" vertical="center" indent="1"/>
    </xf>
    <xf numFmtId="0" fontId="16" fillId="8" borderId="0" xfId="3" applyFont="1" applyFill="1">
      <alignment horizontal="left" vertical="center" indent="1"/>
    </xf>
    <xf numFmtId="0" fontId="15" fillId="3" borderId="0" xfId="0" applyFont="1" applyFill="1" applyAlignment="1">
      <alignment horizontal="right" vertical="center"/>
    </xf>
    <xf numFmtId="166" fontId="5" fillId="0" borderId="0" xfId="0" applyNumberFormat="1" applyFont="1" applyFill="1" applyAlignment="1">
      <alignment horizontal="right" vertical="center"/>
    </xf>
    <xf numFmtId="166" fontId="5" fillId="5" borderId="5" xfId="0" applyNumberFormat="1" applyFont="1" applyFill="1" applyBorder="1" applyAlignment="1">
      <alignment horizontal="right" vertical="center"/>
    </xf>
    <xf numFmtId="166" fontId="6" fillId="0" borderId="0" xfId="0" applyNumberFormat="1" applyFont="1" applyFill="1" applyAlignment="1">
      <alignment horizontal="right" vertical="center"/>
    </xf>
    <xf numFmtId="166" fontId="6" fillId="5" borderId="0" xfId="0" applyNumberFormat="1" applyFont="1" applyFill="1" applyAlignment="1">
      <alignment horizontal="right" vertical="center"/>
    </xf>
    <xf numFmtId="166" fontId="6" fillId="5" borderId="5" xfId="0" applyNumberFormat="1" applyFont="1" applyFill="1" applyBorder="1" applyAlignment="1">
      <alignment horizontal="right" vertical="center"/>
    </xf>
    <xf numFmtId="166" fontId="0" fillId="3" borderId="0" xfId="0" applyNumberFormat="1" applyFill="1" applyAlignment="1">
      <alignment horizontal="right" vertical="center"/>
    </xf>
    <xf numFmtId="166" fontId="0" fillId="10" borderId="0" xfId="0" applyNumberFormat="1" applyFill="1" applyAlignment="1">
      <alignment horizontal="right" vertical="center"/>
    </xf>
    <xf numFmtId="166" fontId="0" fillId="5" borderId="0" xfId="0" applyNumberFormat="1" applyFill="1" applyAlignment="1">
      <alignment horizontal="right" vertical="center"/>
    </xf>
    <xf numFmtId="166" fontId="0" fillId="6" borderId="5" xfId="0" applyNumberFormat="1" applyFill="1" applyBorder="1" applyAlignment="1">
      <alignment horizontal="right" vertical="center"/>
    </xf>
    <xf numFmtId="166" fontId="0" fillId="5" borderId="5" xfId="0" applyNumberFormat="1" applyFill="1" applyBorder="1" applyAlignment="1">
      <alignment horizontal="right" vertical="center"/>
    </xf>
    <xf numFmtId="166" fontId="0" fillId="0" borderId="0" xfId="0" applyNumberFormat="1" applyFill="1" applyAlignment="1">
      <alignment horizontal="right" vertical="center"/>
    </xf>
    <xf numFmtId="166" fontId="0" fillId="7" borderId="0" xfId="0" applyNumberFormat="1" applyFill="1" applyAlignment="1">
      <alignment horizontal="right" vertical="center"/>
    </xf>
    <xf numFmtId="166" fontId="0" fillId="11" borderId="5" xfId="0" applyNumberFormat="1" applyFill="1" applyBorder="1" applyAlignment="1">
      <alignment horizontal="right" vertical="center"/>
    </xf>
    <xf numFmtId="166" fontId="9" fillId="9" borderId="0" xfId="0" applyNumberFormat="1" applyFont="1" applyFill="1" applyAlignment="1">
      <alignment horizontal="right" vertical="center"/>
    </xf>
    <xf numFmtId="166" fontId="9" fillId="8" borderId="0" xfId="0" applyNumberFormat="1" applyFont="1" applyFill="1" applyAlignment="1">
      <alignment horizontal="right" vertical="center"/>
    </xf>
    <xf numFmtId="167" fontId="0" fillId="0" borderId="0" xfId="0" applyNumberFormat="1" applyFill="1" applyAlignment="1">
      <alignment horizontal="right" vertical="center"/>
    </xf>
    <xf numFmtId="0" fontId="31" fillId="5" borderId="9" xfId="0" applyFont="1" applyFill="1" applyBorder="1" applyAlignment="1">
      <alignment horizontal="left" vertical="center" indent="1"/>
    </xf>
    <xf numFmtId="166" fontId="31" fillId="6" borderId="5" xfId="0" applyNumberFormat="1" applyFont="1" applyFill="1" applyBorder="1" applyAlignment="1">
      <alignment horizontal="right" vertical="center"/>
    </xf>
    <xf numFmtId="166" fontId="31" fillId="5" borderId="5" xfId="0" applyNumberFormat="1" applyFont="1" applyFill="1" applyBorder="1" applyAlignment="1">
      <alignment horizontal="right" vertical="center"/>
    </xf>
    <xf numFmtId="0" fontId="31" fillId="5" borderId="5" xfId="0" applyFont="1" applyFill="1" applyBorder="1" applyAlignment="1">
      <alignment horizontal="right" vertical="center"/>
    </xf>
    <xf numFmtId="0" fontId="9" fillId="10" borderId="0" xfId="0" applyFont="1" applyFill="1" applyAlignment="1">
      <alignment horizontal="right" vertical="center"/>
    </xf>
    <xf numFmtId="166" fontId="34" fillId="0" borderId="0" xfId="0" applyNumberFormat="1" applyFont="1" applyFill="1" applyAlignment="1">
      <alignment horizontal="right" vertical="center"/>
    </xf>
    <xf numFmtId="166" fontId="35" fillId="44" borderId="0" xfId="0" applyNumberFormat="1" applyFont="1" applyFill="1" applyAlignment="1">
      <alignment horizontal="right" vertical="center"/>
    </xf>
    <xf numFmtId="166" fontId="35" fillId="45" borderId="0" xfId="0" applyNumberFormat="1" applyFont="1" applyFill="1" applyAlignment="1">
      <alignment horizontal="right" vertical="center"/>
    </xf>
    <xf numFmtId="0" fontId="0" fillId="12" borderId="0" xfId="0">
      <alignment vertical="center"/>
    </xf>
  </cellXfs>
  <cellStyles count="47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7" builtinId="4" customBuiltin="1"/>
    <cellStyle name="Moeda [0]" xfId="8" builtinId="7" customBuiltin="1"/>
    <cellStyle name="Neutro" xfId="13" builtinId="28" customBuiltin="1"/>
    <cellStyle name="Normal" xfId="0" builtinId="0" customBuiltin="1"/>
    <cellStyle name="Nota" xfId="20" builtinId="10" customBuiltin="1"/>
    <cellStyle name="Porcentagem" xfId="9" builtinId="5" customBuiltin="1"/>
    <cellStyle name="Ruim" xfId="12" builtinId="27" customBuiltin="1"/>
    <cellStyle name="Saída" xfId="15" builtinId="21" customBuiltin="1"/>
    <cellStyle name="Separador de milhares [0]" xfId="6" builtinId="6" customBuiltin="1"/>
    <cellStyle name="Texto de Aviso" xfId="19" builtinId="11" customBuiltin="1"/>
    <cellStyle name="Texto Explicativo" xfId="21" builtinId="53" customBuiltin="1"/>
    <cellStyle name="Título" xfId="10" builtinId="15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" builtinId="19" hidden="1" customBuiltin="1"/>
    <cellStyle name="Total" xfId="22" builtinId="25" customBuiltin="1"/>
    <cellStyle name="Vírgula" xfId="5" builtinId="3" customBuiltin="1"/>
  </cellStyles>
  <dxfs count="362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0"/>
      </font>
      <numFmt numFmtId="167" formatCode="&quot;$&quot;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6" formatCode="&quot;R$&quot;\ 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6" formatCode="&quot;R$&quot;\ 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6" formatCode="&quot;R$&quot;\ 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6" formatCode="&quot;R$&quot;\ 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6" formatCode="&quot;R$&quot;\ 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6" formatCode="&quot;R$&quot;\ 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6" formatCode="&quot;R$&quot;\ 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6" formatCode="&quot;R$&quot;\ 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6" formatCode="&quot;R$&quot;\ 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6" formatCode="&quot;R$&quot;\ 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6" formatCode="&quot;R$&quot;\ 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6" formatCode="&quot;R$&quot;\ 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6" formatCode="&quot;R$&quot;\ 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fill>
        <patternFill patternType="solid">
          <fgColor indexed="64"/>
          <bgColor theme="1"/>
        </patternFill>
      </fill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Gill Sans MT"/>
        <scheme val="major"/>
      </font>
      <fill>
        <patternFill patternType="solid">
          <fgColor indexed="64"/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verdana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3743705557422"/>
        <name val="verdana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4"/>
        </left>
        <right/>
        <top/>
        <bottom style="thick">
          <color theme="0"/>
        </bottom>
      </border>
    </dxf>
    <dxf>
      <alignment horizontal="left" vertical="center" textRotation="0" wrapText="0" indent="1" justifyLastLine="0" shrinkToFit="0" readingOrder="0"/>
    </dxf>
    <dxf>
      <font>
        <b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4"/>
        </left>
        <right/>
        <top/>
        <bottom style="thick">
          <color theme="0"/>
        </bottom>
      </border>
    </dxf>
    <dxf>
      <fill>
        <patternFill patternType="none">
          <bgColor auto="1"/>
        </patternFill>
      </fill>
      <alignment horizontal="left" vertical="center" textRotation="0" wrapText="0" relative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5"/>
        </left>
        <right/>
        <top/>
        <bottom style="thick">
          <color theme="0"/>
        </bottom>
      </border>
    </dxf>
    <dxf>
      <fill>
        <patternFill patternType="none">
          <bgColor auto="1"/>
        </patternFill>
      </fill>
      <alignment horizontal="left" vertical="center" textRotation="0" wrapText="0" relative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5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5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5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5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5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5"/>
        </left>
        <right/>
        <top/>
        <bottom style="thick">
          <color theme="0"/>
        </bottom>
      </border>
    </dxf>
    <dxf>
      <fill>
        <patternFill patternType="none">
          <bgColor auto="1"/>
        </patternFill>
      </fill>
      <alignment horizontal="left" vertical="center" textRotation="0" wrapText="0" relative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7" formatCode="&quot;$&quot;#,##0.00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4"/>
        </left>
        <right/>
        <top/>
        <bottom style="thick">
          <color theme="0"/>
        </bottom>
      </border>
    </dxf>
    <dxf>
      <fill>
        <patternFill patternType="none">
          <bgColor auto="1"/>
        </patternFill>
      </fill>
      <alignment horizontal="left" vertical="center" textRotation="0" wrapText="0" relative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4"/>
        </left>
        <right/>
        <top/>
        <bottom style="thick">
          <color theme="0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5"/>
        </left>
        <right/>
        <top/>
        <bottom style="thick">
          <color theme="0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5"/>
        </left>
        <right/>
        <top/>
        <bottom style="thick">
          <color theme="0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4"/>
        </left>
        <right/>
        <top/>
        <bottom style="thick">
          <color theme="0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79998168889431442"/>
        </patternFill>
      </fill>
    </dxf>
    <dxf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numFmt numFmtId="166" formatCode="&quot;R$&quot;\ 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ck">
          <color theme="4"/>
        </left>
        <right/>
        <top/>
        <bottom style="thick">
          <color theme="0"/>
        </bottom>
      </border>
    </dxf>
    <dxf>
      <fill>
        <patternFill patternType="none">
          <bgColor auto="1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5"/>
        </left>
        <right/>
        <top/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family val="2"/>
        <scheme val="minor"/>
      </font>
      <numFmt numFmtId="166" formatCode="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ck">
          <color theme="0"/>
        </bottom>
      </border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medium">
          <color theme="4"/>
        </left>
        <right/>
        <top/>
        <bottom style="thick">
          <color theme="0"/>
        </bottom>
      </border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 val="0"/>
        <i val="0"/>
        <color theme="6" tint="-0.499984740745262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color theme="6" tint="-0.499984740745262"/>
      </font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 val="0"/>
        <i val="0"/>
        <color theme="6" tint="-0.499984740745262"/>
      </font>
      <border>
        <top style="thin">
          <color theme="6" tint="-0.24994659260841701"/>
        </top>
      </border>
    </dxf>
    <dxf>
      <font>
        <b val="0"/>
        <i val="0"/>
        <color theme="6" tint="-0.499984740745262"/>
      </font>
      <border>
        <bottom style="thin">
          <color theme="6" tint="-0.24994659260841701"/>
        </bottom>
      </border>
    </dxf>
    <dxf>
      <font>
        <b val="0"/>
        <i val="0"/>
        <color theme="6" tint="-0.499984740745262"/>
      </font>
      <border>
        <top style="thin">
          <color theme="6" tint="-0.24994659260841701"/>
        </top>
        <bottom style="thin">
          <color theme="6" tint="-0.24994659260841701"/>
        </bottom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 val="0"/>
        <i val="0"/>
        <color theme="4" tint="-0.499984740745262"/>
      </font>
      <fill>
        <patternFill>
          <bgColor theme="4" tint="0.79998168889431442"/>
        </patternFill>
      </fill>
    </dxf>
    <dxf>
      <font>
        <b val="0"/>
        <i val="0"/>
        <color theme="4" tint="-0.499984740745262"/>
      </font>
      <fill>
        <patternFill patternType="solid">
          <fgColor theme="4" tint="0.79995117038483843"/>
          <bgColor theme="4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theme="4" tint="-0.499984740745262"/>
      </font>
    </dxf>
    <dxf>
      <font>
        <b val="0"/>
        <i val="0"/>
        <color theme="4" tint="-0.499984740745262"/>
      </font>
      <fill>
        <patternFill patternType="none">
          <bgColor auto="1"/>
        </patternFill>
      </fill>
      <border>
        <top style="thin">
          <color theme="4" tint="-0.24994659260841701"/>
        </top>
      </border>
    </dxf>
    <dxf>
      <border diagonalUp="0" diagonalDown="0">
        <left/>
        <right/>
        <top/>
        <bottom style="thin">
          <color theme="4" tint="-0.499984740745262"/>
        </bottom>
        <vertical/>
        <horizontal/>
      </border>
    </dxf>
    <dxf>
      <font>
        <b val="0"/>
        <i val="0"/>
        <color theme="4" tint="-0.499984740745262"/>
      </font>
      <border>
        <top style="thin">
          <color theme="4" tint="-0.24994659260841701"/>
        </top>
        <bottom style="thin">
          <color theme="4" tint="-0.24994659260841701"/>
        </bottom>
      </border>
    </dxf>
    <dxf>
      <font>
        <b/>
        <i val="0"/>
        <color theme="5" tint="-0.499984740745262"/>
      </font>
      <fill>
        <patternFill>
          <bgColor theme="5" tint="0.79998168889431442"/>
        </patternFill>
      </fill>
    </dxf>
    <dxf>
      <font>
        <b/>
        <i val="0"/>
        <color theme="5" tint="-0.499984740745262"/>
      </font>
      <fill>
        <patternFill>
          <bgColor theme="5" tint="0.79998168889431442"/>
        </patternFill>
      </fill>
    </dxf>
    <dxf>
      <font>
        <b val="0"/>
        <i val="0"/>
        <color theme="5" tint="-0.499984740745262"/>
      </font>
      <fill>
        <patternFill patternType="solid">
          <fgColor theme="5" tint="0.79998168889431442"/>
          <bgColor theme="5" tint="0.79998168889431442"/>
        </patternFill>
      </fill>
    </dxf>
    <dxf>
      <font>
        <b val="0"/>
        <i val="0"/>
        <color theme="5" tint="-0.499984740745262"/>
      </font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color theme="5" tint="-0.499984740745262"/>
      </font>
      <fill>
        <patternFill>
          <bgColor theme="5" tint="0.79998168889431442"/>
        </patternFill>
      </fill>
    </dxf>
    <dxf>
      <font>
        <b/>
        <i val="0"/>
        <color theme="5" tint="-0.499984740745262"/>
      </font>
    </dxf>
    <dxf>
      <font>
        <b val="0"/>
        <i val="0"/>
        <color theme="5" tint="-0.499984740745262"/>
      </font>
      <border>
        <top style="thin">
          <color theme="5" tint="-0.24994659260841701"/>
        </top>
      </border>
    </dxf>
    <dxf>
      <font>
        <b val="0"/>
        <i val="0"/>
        <color theme="5" tint="-0.499984740745262"/>
      </font>
      <border>
        <bottom style="thin">
          <color theme="5" tint="-0.24994659260841701"/>
        </bottom>
      </border>
    </dxf>
    <dxf>
      <font>
        <b val="0"/>
        <i val="0"/>
        <color theme="5" tint="-0.499984740745262"/>
      </font>
      <border>
        <top style="thin">
          <color theme="5" tint="-0.24994659260841701"/>
        </top>
        <bottom style="thin">
          <color theme="5" tint="-0.24994659260841701"/>
        </bottom>
      </border>
    </dxf>
  </dxfs>
  <tableStyles count="3" defaultTableStyle="Orçamento pessoal – despesas" defaultPivotStyle="PivotStyleLight16">
    <tableStyle name="Orçamento pessoal – despesas" pivot="0" count="9" xr9:uid="{00000000-0011-0000-FFFF-FFFF01000000}">
      <tableStyleElement type="wholeTable" dxfId="361"/>
      <tableStyleElement type="headerRow" dxfId="360"/>
      <tableStyleElement type="totalRow" dxfId="359"/>
      <tableStyleElement type="firstColumn" dxfId="358"/>
      <tableStyleElement type="lastColumn" dxfId="357"/>
      <tableStyleElement type="firstRowStripe" dxfId="356"/>
      <tableStyleElement type="firstColumnStripe" dxfId="355"/>
      <tableStyleElement type="firstTotalCell" dxfId="354"/>
      <tableStyleElement type="lastTotalCell" dxfId="353"/>
    </tableStyle>
    <tableStyle name="Orçamento pessoal – receita" pivot="0" count="9" xr9:uid="{00000000-0011-0000-FFFF-FFFF00000000}">
      <tableStyleElement type="wholeTable" dxfId="352"/>
      <tableStyleElement type="headerRow" dxfId="351"/>
      <tableStyleElement type="totalRow" dxfId="350"/>
      <tableStyleElement type="firstColumn" dxfId="349"/>
      <tableStyleElement type="lastColumn" dxfId="348"/>
      <tableStyleElement type="firstRowStripe" dxfId="347"/>
      <tableStyleElement type="firstColumnStripe" dxfId="346"/>
      <tableStyleElement type="firstTotalCell" dxfId="345"/>
      <tableStyleElement type="lastTotalCell" dxfId="344"/>
    </tableStyle>
    <tableStyle name="Orçamento pessoal – total" pivot="0" count="9" xr9:uid="{00000000-0011-0000-FFFF-FFFF02000000}">
      <tableStyleElement type="wholeTable" dxfId="343"/>
      <tableStyleElement type="headerRow" dxfId="342"/>
      <tableStyleElement type="totalRow" dxfId="341"/>
      <tableStyleElement type="firstColumn" dxfId="340"/>
      <tableStyleElement type="lastColumn" dxfId="339"/>
      <tableStyleElement type="firstRowStripe" dxfId="338"/>
      <tableStyleElement type="firstColumnStripe" dxfId="337"/>
      <tableStyleElement type="firstTotalCell" dxfId="336"/>
      <tableStyleElement type="lastTotalCell" dxfId="335"/>
    </tableStyle>
  </tableStyles>
  <colors>
    <mruColors>
      <color rgb="FFF7F7F7"/>
      <color rgb="FFF3F8FF"/>
      <color rgb="FFE6F8FA"/>
      <color rgb="FFEFF5FF"/>
      <color rgb="FFD6E8F6"/>
      <color rgb="FFE6E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eita" displayName="Receita" ref="A3:O8" totalsRowCount="1" headerRowDxfId="334" dataDxfId="333" totalsRowDxfId="332">
  <autoFilter ref="A3:O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000-000001000000}" name="RECEITA" totalsRowLabel="Total" totalsRowDxfId="331"/>
    <tableColumn id="2" xr3:uid="{00000000-0010-0000-0000-000002000000}" name="Janeiro" totalsRowFunction="sum" dataDxfId="330" totalsRowDxfId="329"/>
    <tableColumn id="3" xr3:uid="{00000000-0010-0000-0000-000003000000}" name="Fevereiro" totalsRowFunction="sum" dataDxfId="328" totalsRowDxfId="327"/>
    <tableColumn id="4" xr3:uid="{00000000-0010-0000-0000-000004000000}" name="Março" totalsRowFunction="sum" dataDxfId="326" totalsRowDxfId="325"/>
    <tableColumn id="5" xr3:uid="{00000000-0010-0000-0000-000005000000}" name="Abr" totalsRowFunction="sum" dataDxfId="324" totalsRowDxfId="323"/>
    <tableColumn id="6" xr3:uid="{00000000-0010-0000-0000-000006000000}" name="Maio" totalsRowFunction="sum" dataDxfId="322" totalsRowDxfId="321"/>
    <tableColumn id="7" xr3:uid="{00000000-0010-0000-0000-000007000000}" name="Jun" totalsRowFunction="sum" dataDxfId="320" totalsRowDxfId="319"/>
    <tableColumn id="8" xr3:uid="{00000000-0010-0000-0000-000008000000}" name="Julho" totalsRowFunction="sum" dataDxfId="318" totalsRowDxfId="317"/>
    <tableColumn id="9" xr3:uid="{00000000-0010-0000-0000-000009000000}" name="Agosto" totalsRowFunction="sum" dataDxfId="316" totalsRowDxfId="315"/>
    <tableColumn id="10" xr3:uid="{00000000-0010-0000-0000-00000A000000}" name="Setembro" totalsRowFunction="sum" dataDxfId="314" totalsRowDxfId="313"/>
    <tableColumn id="11" xr3:uid="{00000000-0010-0000-0000-00000B000000}" name="Outubro" totalsRowFunction="sum" dataDxfId="312" totalsRowDxfId="311"/>
    <tableColumn id="12" xr3:uid="{00000000-0010-0000-0000-00000C000000}" name="Novembro" totalsRowFunction="sum" dataDxfId="310" totalsRowDxfId="309"/>
    <tableColumn id="13" xr3:uid="{00000000-0010-0000-0000-00000D000000}" name="Dezembro" totalsRowFunction="sum" dataDxfId="308" totalsRowDxfId="307"/>
    <tableColumn id="14" xr3:uid="{00000000-0010-0000-0000-00000E000000}" name="Ano" totalsRowFunction="sum" dataDxfId="306" totalsRowDxfId="305">
      <calculatedColumnFormula>SUM(Receita[[#This Row],[Janeiro]:[Dezembro]])</calculatedColumnFormula>
    </tableColumn>
    <tableColumn id="15" xr3:uid="{00000000-0010-0000-0000-00000F000000}" name="Minigráfico" totalsRowDxfId="304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Insira itens de receita e valores mensais nesta tabela. O valor anual e os totais mensais são calculados automaticamente e os minigráficos são atualizado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omésticas" displayName="Domésticas" ref="A11:O16" totalsRowCount="1" headerRowDxfId="303" dataDxfId="302" totalsRowDxfId="301">
  <autoFilter ref="A11:O15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100-000001000000}" name="DOMÉSTICAS" totalsRowLabel="Total" totalsRowDxfId="300"/>
    <tableColumn id="2" xr3:uid="{00000000-0010-0000-0100-000002000000}" name="Janeiro" totalsRowFunction="sum" dataDxfId="299" totalsRowDxfId="298">
      <calculatedColumnFormula>SUMIF(#REF!,Domésticas[[#This Row],[DOMÉSTICAS]],#REF!)</calculatedColumnFormula>
    </tableColumn>
    <tableColumn id="3" xr3:uid="{00000000-0010-0000-0100-000003000000}" name="Fevereiro" totalsRowFunction="sum" dataDxfId="297" totalsRowDxfId="296">
      <calculatedColumnFormula>SUMIF(#REF!,Domésticas[[#This Row],[DOMÉSTICAS]],#REF!)</calculatedColumnFormula>
    </tableColumn>
    <tableColumn id="4" xr3:uid="{00000000-0010-0000-0100-000004000000}" name="Março" totalsRowFunction="sum" dataDxfId="295" totalsRowDxfId="294">
      <calculatedColumnFormula>SUMIF(#REF!,Domésticas[[#This Row],[DOMÉSTICAS]],#REF!)</calculatedColumnFormula>
    </tableColumn>
    <tableColumn id="5" xr3:uid="{00000000-0010-0000-0100-000005000000}" name="Abr" totalsRowFunction="sum" dataDxfId="293" totalsRowDxfId="292">
      <calculatedColumnFormula>SUMIF(#REF!,Domésticas[[#This Row],[DOMÉSTICAS]],#REF!)</calculatedColumnFormula>
    </tableColumn>
    <tableColumn id="6" xr3:uid="{00000000-0010-0000-0100-000006000000}" name="Mai" totalsRowFunction="sum" dataDxfId="291" totalsRowDxfId="290">
      <calculatedColumnFormula>SUMIF(#REF!,Domésticas[[#This Row],[DOMÉSTICAS]],#REF!)</calculatedColumnFormula>
    </tableColumn>
    <tableColumn id="7" xr3:uid="{00000000-0010-0000-0100-000007000000}" name="Jun" totalsRowFunction="sum" dataDxfId="289" totalsRowDxfId="288">
      <calculatedColumnFormula>SUMIF(#REF!,Domésticas[[#This Row],[DOMÉSTICAS]],#REF!)</calculatedColumnFormula>
    </tableColumn>
    <tableColumn id="8" xr3:uid="{00000000-0010-0000-0100-000008000000}" name="Julho" totalsRowFunction="sum" dataDxfId="287" totalsRowDxfId="286">
      <calculatedColumnFormula>SUMIF(#REF!,Domésticas[[#This Row],[DOMÉSTICAS]],#REF!)</calculatedColumnFormula>
    </tableColumn>
    <tableColumn id="9" xr3:uid="{00000000-0010-0000-0100-000009000000}" name="Agosto" totalsRowFunction="sum" dataDxfId="285" totalsRowDxfId="284">
      <calculatedColumnFormula>SUMIF(#REF!,Domésticas[[#This Row],[DOMÉSTICAS]],#REF!)</calculatedColumnFormula>
    </tableColumn>
    <tableColumn id="10" xr3:uid="{00000000-0010-0000-0100-00000A000000}" name="Setembro" totalsRowFunction="sum" dataDxfId="283" totalsRowDxfId="282">
      <calculatedColumnFormula>SUMIF(#REF!,Domésticas[[#This Row],[DOMÉSTICAS]],#REF!)</calculatedColumnFormula>
    </tableColumn>
    <tableColumn id="11" xr3:uid="{00000000-0010-0000-0100-00000B000000}" name="Outubro" totalsRowFunction="sum" dataDxfId="281" totalsRowDxfId="280">
      <calculatedColumnFormula>SUMIF(#REF!,Domésticas[[#This Row],[DOMÉSTICAS]],#REF!)</calculatedColumnFormula>
    </tableColumn>
    <tableColumn id="12" xr3:uid="{00000000-0010-0000-0100-00000C000000}" name="Novembro" totalsRowFunction="sum" dataDxfId="279" totalsRowDxfId="278"/>
    <tableColumn id="13" xr3:uid="{00000000-0010-0000-0100-00000D000000}" name="Dezembro" totalsRowFunction="sum" dataDxfId="277" totalsRowDxfId="276"/>
    <tableColumn id="14" xr3:uid="{00000000-0010-0000-0100-00000E000000}" name="Ano" totalsRowFunction="sum" dataDxfId="275" totalsRowDxfId="274">
      <calculatedColumnFormula>SUM(Domésticas[[#This Row],[Janeiro]:[Dezembro]])</calculatedColumnFormula>
    </tableColumn>
    <tableColumn id="15" xr3:uid="{00000000-0010-0000-0100-00000F000000}" name="Minigráfico" totalsRowDxfId="273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Insira itens de despesas domésticas e valores mensais nesta tabela. O valor anual e os totais mensais são calculados automaticamente e os minigráficos são atualizados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árias" displayName="Diárias" ref="A18:O22" totalsRowCount="1" headerRowDxfId="272" dataDxfId="271" totalsRowDxfId="270">
  <autoFilter ref="A18:O21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200-000001000000}" name="Cotidiano" totalsRowLabel="Total" totalsRowDxfId="269"/>
    <tableColumn id="2" xr3:uid="{00000000-0010-0000-0200-000002000000}" name="Janeiro" totalsRowFunction="sum" dataDxfId="268" totalsRowDxfId="267"/>
    <tableColumn id="3" xr3:uid="{00000000-0010-0000-0200-000003000000}" name="Fevereiro" totalsRowFunction="sum" dataDxfId="266" totalsRowDxfId="265">
      <calculatedColumnFormula>SUMIF(#REF!,Diárias[[#This Row],[Cotidiano]],#REF!)</calculatedColumnFormula>
    </tableColumn>
    <tableColumn id="4" xr3:uid="{00000000-0010-0000-0200-000004000000}" name="Março" totalsRowFunction="sum" dataDxfId="264" totalsRowDxfId="263">
      <calculatedColumnFormula>SUMIF(#REF!,Diárias[[#This Row],[Cotidiano]],#REF!)</calculatedColumnFormula>
    </tableColumn>
    <tableColumn id="5" xr3:uid="{00000000-0010-0000-0200-000005000000}" name="Abr" totalsRowFunction="sum" dataDxfId="262" totalsRowDxfId="261">
      <calculatedColumnFormula>SUMIF(#REF!,Diárias[[#This Row],[Cotidiano]],#REF!)</calculatedColumnFormula>
    </tableColumn>
    <tableColumn id="6" xr3:uid="{00000000-0010-0000-0200-000006000000}" name="Mai" totalsRowFunction="sum" dataDxfId="260" totalsRowDxfId="259">
      <calculatedColumnFormula>SUMIF(#REF!,Diárias[[#This Row],[Cotidiano]],#REF!)</calculatedColumnFormula>
    </tableColumn>
    <tableColumn id="7" xr3:uid="{00000000-0010-0000-0200-000007000000}" name="Jun" totalsRowFunction="sum" dataDxfId="258" totalsRowDxfId="257">
      <calculatedColumnFormula>SUMIF(#REF!,Diárias[[#This Row],[Cotidiano]],#REF!)</calculatedColumnFormula>
    </tableColumn>
    <tableColumn id="8" xr3:uid="{00000000-0010-0000-0200-000008000000}" name="Julho" totalsRowFunction="sum" dataDxfId="256" totalsRowDxfId="255">
      <calculatedColumnFormula>SUMIF(#REF!,Diárias[[#This Row],[Cotidiano]],#REF!)</calculatedColumnFormula>
    </tableColumn>
    <tableColumn id="9" xr3:uid="{00000000-0010-0000-0200-000009000000}" name="Agosto" totalsRowFunction="sum" dataDxfId="254" totalsRowDxfId="253">
      <calculatedColumnFormula>SUMIF(#REF!,Diárias[[#This Row],[Cotidiano]],#REF!)</calculatedColumnFormula>
    </tableColumn>
    <tableColumn id="10" xr3:uid="{00000000-0010-0000-0200-00000A000000}" name="Setembro" totalsRowFunction="sum" dataDxfId="252" totalsRowDxfId="251">
      <calculatedColumnFormula>SUMIF(#REF!,Diárias[[#This Row],[Cotidiano]],#REF!)</calculatedColumnFormula>
    </tableColumn>
    <tableColumn id="11" xr3:uid="{00000000-0010-0000-0200-00000B000000}" name="Outubro" totalsRowFunction="sum" dataDxfId="250" totalsRowDxfId="249">
      <calculatedColumnFormula>SUMIF(#REF!,Diárias[[#This Row],[Cotidiano]],#REF!)</calculatedColumnFormula>
    </tableColumn>
    <tableColumn id="12" xr3:uid="{00000000-0010-0000-0200-00000C000000}" name="Novembro" totalsRowFunction="sum" dataDxfId="248" totalsRowDxfId="247">
      <calculatedColumnFormula>SUMIF(#REF!,Diárias[[#This Row],[Cotidiano]],#REF!)</calculatedColumnFormula>
    </tableColumn>
    <tableColumn id="13" xr3:uid="{00000000-0010-0000-0200-00000D000000}" name="Dezembro" totalsRowFunction="sum" dataDxfId="246" totalsRowDxfId="245"/>
    <tableColumn id="14" xr3:uid="{00000000-0010-0000-0200-00000E000000}" name="Ano" totalsRowFunction="sum" dataDxfId="244" totalsRowDxfId="243">
      <calculatedColumnFormula>SUM(Diárias[[#This Row],[Janeiro]:[Dezembro]])</calculatedColumnFormula>
    </tableColumn>
    <tableColumn id="15" xr3:uid="{00000000-0010-0000-0200-00000F000000}" name="Minigráfico" totalsRowDxfId="242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Insira itens de despesas diárias e valores mensais nesta tabela. O valor anual e os totais mensais são calculados automaticamente e os minigráficos são atualizados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porte" displayName="Transporte" ref="A24:O27" totalsRowCount="1" headerRowDxfId="241" dataDxfId="240" totalsRowDxfId="239">
  <autoFilter ref="A24:O26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300-000001000000}" name="TRANSPORTE" totalsRowLabel="Total" totalsRowDxfId="238"/>
    <tableColumn id="2" xr3:uid="{00000000-0010-0000-0300-000002000000}" name="Janeiro" totalsRowFunction="sum" dataDxfId="237" totalsRowDxfId="236">
      <calculatedColumnFormula>SUMIF(#REF!,Transporte[[#This Row],[TRANSPORTE]],#REF!)</calculatedColumnFormula>
    </tableColumn>
    <tableColumn id="3" xr3:uid="{00000000-0010-0000-0300-000003000000}" name="Fevereiro" totalsRowFunction="sum" totalsRowDxfId="235">
      <calculatedColumnFormula>SUMIF(#REF!,Transporte[[#This Row],[TRANSPORTE]],#REF!)</calculatedColumnFormula>
    </tableColumn>
    <tableColumn id="4" xr3:uid="{00000000-0010-0000-0300-000004000000}" name="Março" totalsRowFunction="sum" dataDxfId="234" totalsRowDxfId="233">
      <calculatedColumnFormula>SUMIF(#REF!,Transporte[[#This Row],[TRANSPORTE]],#REF!)</calculatedColumnFormula>
    </tableColumn>
    <tableColumn id="5" xr3:uid="{00000000-0010-0000-0300-000005000000}" name="Abr" totalsRowFunction="sum" totalsRowDxfId="232">
      <calculatedColumnFormula>SUMIF(#REF!,Transporte[[#This Row],[TRANSPORTE]],#REF!)</calculatedColumnFormula>
    </tableColumn>
    <tableColumn id="6" xr3:uid="{00000000-0010-0000-0300-000006000000}" name="Mai" totalsRowFunction="sum" dataDxfId="231" totalsRowDxfId="230">
      <calculatedColumnFormula>SUMIF(#REF!,Transporte[[#This Row],[TRANSPORTE]],#REF!)</calculatedColumnFormula>
    </tableColumn>
    <tableColumn id="7" xr3:uid="{00000000-0010-0000-0300-000007000000}" name="Jun" totalsRowFunction="sum" totalsRowDxfId="229">
      <calculatedColumnFormula>SUMIF(#REF!,Transporte[[#This Row],[TRANSPORTE]],#REF!)</calculatedColumnFormula>
    </tableColumn>
    <tableColumn id="8" xr3:uid="{00000000-0010-0000-0300-000008000000}" name="Julho" totalsRowFunction="sum" dataDxfId="228" totalsRowDxfId="227">
      <calculatedColumnFormula>SUMIF(#REF!,Transporte[[#This Row],[TRANSPORTE]],#REF!)</calculatedColumnFormula>
    </tableColumn>
    <tableColumn id="9" xr3:uid="{00000000-0010-0000-0300-000009000000}" name="Agosto" totalsRowFunction="sum" totalsRowDxfId="226">
      <calculatedColumnFormula>SUMIF(#REF!,Transporte[[#This Row],[TRANSPORTE]],#REF!)</calculatedColumnFormula>
    </tableColumn>
    <tableColumn id="10" xr3:uid="{00000000-0010-0000-0300-00000A000000}" name="Setembro" totalsRowFunction="sum" dataDxfId="225" totalsRowDxfId="224">
      <calculatedColumnFormula>SUMIF(#REF!,Transporte[[#This Row],[TRANSPORTE]],#REF!)</calculatedColumnFormula>
    </tableColumn>
    <tableColumn id="11" xr3:uid="{00000000-0010-0000-0300-00000B000000}" name="Outubro" totalsRowFunction="sum" totalsRowDxfId="223">
      <calculatedColumnFormula>SUMIF(#REF!,Transporte[[#This Row],[TRANSPORTE]],#REF!)</calculatedColumnFormula>
    </tableColumn>
    <tableColumn id="12" xr3:uid="{00000000-0010-0000-0300-00000C000000}" name="Novembro" totalsRowFunction="sum" dataDxfId="222" totalsRowDxfId="221">
      <calculatedColumnFormula>SUMIF(#REF!,Transporte[[#This Row],[TRANSPORTE]],#REF!)</calculatedColumnFormula>
    </tableColumn>
    <tableColumn id="13" xr3:uid="{00000000-0010-0000-0300-00000D000000}" name="Dezembro" totalsRowFunction="sum" totalsRowDxfId="220"/>
    <tableColumn id="14" xr3:uid="{00000000-0010-0000-0300-00000E000000}" name="Ano" totalsRowFunction="sum" dataDxfId="219" totalsRowDxfId="218">
      <calculatedColumnFormula>SUM(Transporte[[#This Row],[Janeiro]:[Dezembro]])</calculatedColumnFormula>
    </tableColumn>
    <tableColumn id="15" xr3:uid="{00000000-0010-0000-0300-00000F000000}" name="Minigráfico" totalsRowDxfId="217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Insira itens de despesas de transporte e valores mensais nesta tabela. O valor anual e os totais mensais são calculados automaticamente e os minigráficos são atualizados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ntretenimento" displayName="Entretenimento" ref="A29:O33" totalsRowCount="1" headerRowDxfId="216" dataDxfId="215" totalsRowDxfId="214">
  <autoFilter ref="A29:O32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400-000001000000}" name="ENTRETENIMENTO" totalsRowLabel="Total" totalsRowDxfId="213"/>
    <tableColumn id="2" xr3:uid="{00000000-0010-0000-0400-000002000000}" name="Janeiro" totalsRowFunction="sum" totalsRowDxfId="212">
      <calculatedColumnFormula>SUMIF(#REF!,Entretenimento[[#This Row],[ENTRETENIMENTO]],#REF!)</calculatedColumnFormula>
    </tableColumn>
    <tableColumn id="3" xr3:uid="{00000000-0010-0000-0400-000003000000}" name="Fevereiro" totalsRowFunction="sum" totalsRowDxfId="211">
      <calculatedColumnFormula>SUMIF(#REF!,Entretenimento[[#This Row],[ENTRETENIMENTO]],#REF!)</calculatedColumnFormula>
    </tableColumn>
    <tableColumn id="4" xr3:uid="{00000000-0010-0000-0400-000004000000}" name="Março" totalsRowFunction="sum" totalsRowDxfId="210">
      <calculatedColumnFormula>SUMIF(#REF!,Entretenimento[[#This Row],[ENTRETENIMENTO]],#REF!)</calculatedColumnFormula>
    </tableColumn>
    <tableColumn id="5" xr3:uid="{00000000-0010-0000-0400-000005000000}" name="Abr" totalsRowFunction="sum" totalsRowDxfId="209">
      <calculatedColumnFormula>SUMIF(#REF!,Entretenimento[[#This Row],[ENTRETENIMENTO]],#REF!)</calculatedColumnFormula>
    </tableColumn>
    <tableColumn id="6" xr3:uid="{00000000-0010-0000-0400-000006000000}" name="Mai" totalsRowFunction="sum" totalsRowDxfId="208">
      <calculatedColumnFormula>SUMIF(#REF!,Entretenimento[[#This Row],[ENTRETENIMENTO]],#REF!)</calculatedColumnFormula>
    </tableColumn>
    <tableColumn id="7" xr3:uid="{00000000-0010-0000-0400-000007000000}" name="Jun" totalsRowFunction="sum" totalsRowDxfId="207">
      <calculatedColumnFormula>SUMIF(#REF!,Entretenimento[[#This Row],[ENTRETENIMENTO]],#REF!)</calculatedColumnFormula>
    </tableColumn>
    <tableColumn id="8" xr3:uid="{00000000-0010-0000-0400-000008000000}" name="Julho" totalsRowFunction="sum" totalsRowDxfId="206">
      <calculatedColumnFormula>SUMIF(#REF!,Entretenimento[[#This Row],[ENTRETENIMENTO]],#REF!)</calculatedColumnFormula>
    </tableColumn>
    <tableColumn id="9" xr3:uid="{00000000-0010-0000-0400-000009000000}" name="Agosto" totalsRowFunction="sum" totalsRowDxfId="205">
      <calculatedColumnFormula>SUMIF(#REF!,Entretenimento[[#This Row],[ENTRETENIMENTO]],#REF!)</calculatedColumnFormula>
    </tableColumn>
    <tableColumn id="10" xr3:uid="{00000000-0010-0000-0400-00000A000000}" name="Setembro" totalsRowFunction="sum" totalsRowDxfId="204">
      <calculatedColumnFormula>SUMIF(#REF!,Entretenimento[[#This Row],[ENTRETENIMENTO]],#REF!)</calculatedColumnFormula>
    </tableColumn>
    <tableColumn id="11" xr3:uid="{00000000-0010-0000-0400-00000B000000}" name="Outubro" totalsRowFunction="sum" totalsRowDxfId="203">
      <calculatedColumnFormula>SUMIF(#REF!,Entretenimento[[#This Row],[ENTRETENIMENTO]],#REF!)</calculatedColumnFormula>
    </tableColumn>
    <tableColumn id="12" xr3:uid="{00000000-0010-0000-0400-00000C000000}" name="Novembro" totalsRowFunction="sum" totalsRowDxfId="202"/>
    <tableColumn id="13" xr3:uid="{00000000-0010-0000-0400-00000D000000}" name="Dezembro" totalsRowFunction="sum" totalsRowDxfId="201"/>
    <tableColumn id="14" xr3:uid="{00000000-0010-0000-0400-00000E000000}" name="Ano" totalsRowFunction="sum" totalsRowDxfId="200">
      <calculatedColumnFormula>SUM(Entretenimento[[#This Row],[Janeiro]:[Dezembro]])</calculatedColumnFormula>
    </tableColumn>
    <tableColumn id="15" xr3:uid="{00000000-0010-0000-0400-00000F000000}" name="Minigráfico" totalsRowDxfId="199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Insira itens de despesas de entretenimento e valores mensais nesta tabela. O valor anual e os totais mensais são calculados automaticamente e os minigráficos são atualizados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aúde" displayName="Saúde" ref="A35:O38" totalsRowCount="1" headerRowDxfId="198" dataDxfId="197" totalsRowDxfId="196">
  <autoFilter ref="A35:O37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500-000001000000}" name="SAÚDE" totalsRowLabel="Total" totalsRowDxfId="195"/>
    <tableColumn id="2" xr3:uid="{00000000-0010-0000-0500-000002000000}" name="Janeiro" totalsRowFunction="sum" totalsRowDxfId="194">
      <calculatedColumnFormula>SUMIF(#REF!,Saúde[[#This Row],[SAÚDE]],#REF!)</calculatedColumnFormula>
    </tableColumn>
    <tableColumn id="3" xr3:uid="{00000000-0010-0000-0500-000003000000}" name="Fevereiro" totalsRowFunction="sum" totalsRowDxfId="193">
      <calculatedColumnFormula>SUMIF(#REF!,Saúde[[#This Row],[SAÚDE]],#REF!)</calculatedColumnFormula>
    </tableColumn>
    <tableColumn id="4" xr3:uid="{00000000-0010-0000-0500-000004000000}" name="Março" totalsRowFunction="sum" totalsRowDxfId="192">
      <calculatedColumnFormula>SUMIF(#REF!,Saúde[[#This Row],[SAÚDE]],#REF!)</calculatedColumnFormula>
    </tableColumn>
    <tableColumn id="5" xr3:uid="{00000000-0010-0000-0500-000005000000}" name="Abr" totalsRowFunction="sum" totalsRowDxfId="191">
      <calculatedColumnFormula>SUMIF(#REF!,Saúde[[#This Row],[SAÚDE]],#REF!)</calculatedColumnFormula>
    </tableColumn>
    <tableColumn id="6" xr3:uid="{00000000-0010-0000-0500-000006000000}" name="Mai" totalsRowFunction="sum" totalsRowDxfId="190">
      <calculatedColumnFormula>SUMIF(#REF!,Saúde[[#This Row],[SAÚDE]],#REF!)</calculatedColumnFormula>
    </tableColumn>
    <tableColumn id="7" xr3:uid="{00000000-0010-0000-0500-000007000000}" name="Jun" totalsRowFunction="sum" totalsRowDxfId="189">
      <calculatedColumnFormula>SUMIF(#REF!,Saúde[[#This Row],[SAÚDE]],#REF!)</calculatedColumnFormula>
    </tableColumn>
    <tableColumn id="8" xr3:uid="{00000000-0010-0000-0500-000008000000}" name="Julho" totalsRowFunction="sum" totalsRowDxfId="188">
      <calculatedColumnFormula>SUMIF(#REF!,Saúde[[#This Row],[SAÚDE]],#REF!)</calculatedColumnFormula>
    </tableColumn>
    <tableColumn id="9" xr3:uid="{00000000-0010-0000-0500-000009000000}" name="Agosto" totalsRowFunction="sum" totalsRowDxfId="187">
      <calculatedColumnFormula>SUMIF(#REF!,Saúde[[#This Row],[SAÚDE]],#REF!)</calculatedColumnFormula>
    </tableColumn>
    <tableColumn id="10" xr3:uid="{00000000-0010-0000-0500-00000A000000}" name="Setembro" totalsRowFunction="sum" totalsRowDxfId="186">
      <calculatedColumnFormula>SUMIF(#REF!,Saúde[[#This Row],[SAÚDE]],#REF!)</calculatedColumnFormula>
    </tableColumn>
    <tableColumn id="11" xr3:uid="{00000000-0010-0000-0500-00000B000000}" name="Outubro" totalsRowFunction="sum" totalsRowDxfId="185">
      <calculatedColumnFormula>SUMIF(#REF!,Saúde[[#This Row],[SAÚDE]],#REF!)</calculatedColumnFormula>
    </tableColumn>
    <tableColumn id="12" xr3:uid="{00000000-0010-0000-0500-00000C000000}" name="Novembro" totalsRowFunction="sum" totalsRowDxfId="184"/>
    <tableColumn id="13" xr3:uid="{00000000-0010-0000-0500-00000D000000}" name="Dezembro" totalsRowFunction="sum" totalsRowDxfId="183"/>
    <tableColumn id="14" xr3:uid="{00000000-0010-0000-0500-00000E000000}" name="Ano" totalsRowFunction="sum" totalsRowDxfId="182">
      <calculatedColumnFormula>SUM(Saúde[[#This Row],[Janeiro]:[Dezembro]])</calculatedColumnFormula>
    </tableColumn>
    <tableColumn id="15" xr3:uid="{00000000-0010-0000-0500-00000F000000}" name="Minigráfico" totalsRowDxfId="181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Insira itens de despesas de saúde e valores mensais nesta tabela. O valor anual e os totais mensais são calculados automaticamente e os minigráficos são atualizados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érias" displayName="Férias" ref="A40:O46" totalsRowCount="1" headerRowDxfId="180" dataDxfId="179" totalsRowDxfId="178">
  <autoFilter ref="A40:O45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600-000001000000}" name="FÉRIAS" totalsRowLabel="Total" totalsRowDxfId="177"/>
    <tableColumn id="2" xr3:uid="{00000000-0010-0000-0600-000002000000}" name="Janeiro" totalsRowFunction="sum" totalsRowDxfId="176"/>
    <tableColumn id="3" xr3:uid="{00000000-0010-0000-0600-000003000000}" name="Fevereiro" totalsRowFunction="sum" totalsRowDxfId="175"/>
    <tableColumn id="4" xr3:uid="{00000000-0010-0000-0600-000004000000}" name="Março" totalsRowFunction="sum" totalsRowDxfId="174"/>
    <tableColumn id="5" xr3:uid="{00000000-0010-0000-0600-000005000000}" name="Abr" totalsRowFunction="sum" totalsRowDxfId="173"/>
    <tableColumn id="6" xr3:uid="{00000000-0010-0000-0600-000006000000}" name="Mai" totalsRowFunction="sum" totalsRowDxfId="172"/>
    <tableColumn id="7" xr3:uid="{00000000-0010-0000-0600-000007000000}" name="Jun" totalsRowFunction="sum" totalsRowDxfId="171"/>
    <tableColumn id="8" xr3:uid="{00000000-0010-0000-0600-000008000000}" name="Julho" totalsRowFunction="sum" totalsRowDxfId="170"/>
    <tableColumn id="9" xr3:uid="{00000000-0010-0000-0600-000009000000}" name="Agosto" totalsRowFunction="sum" totalsRowDxfId="169"/>
    <tableColumn id="10" xr3:uid="{00000000-0010-0000-0600-00000A000000}" name="Setembro" totalsRowFunction="sum" totalsRowDxfId="168"/>
    <tableColumn id="11" xr3:uid="{00000000-0010-0000-0600-00000B000000}" name="Outubro" totalsRowFunction="sum" totalsRowDxfId="167"/>
    <tableColumn id="12" xr3:uid="{00000000-0010-0000-0600-00000C000000}" name="Novembro" totalsRowFunction="sum" totalsRowDxfId="166"/>
    <tableColumn id="13" xr3:uid="{00000000-0010-0000-0600-00000D000000}" name="Dezembro" totalsRowFunction="sum" totalsRowDxfId="165"/>
    <tableColumn id="14" xr3:uid="{00000000-0010-0000-0600-00000E000000}" name="Ano" totalsRowFunction="sum" totalsRowDxfId="164">
      <calculatedColumnFormula>SUM(Férias[[#This Row],[Janeiro]:[Dezembro]])</calculatedColumnFormula>
    </tableColumn>
    <tableColumn id="15" xr3:uid="{00000000-0010-0000-0600-00000F000000}" name="Minigráfico" totalsRowDxfId="163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Insira itens de despesas de férias e valores mensais nesta tabela. O valor anual e os totais mensais são calculados automaticamente e os minigráficos são atualizados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azer" displayName="Lazer" ref="A48:O53" totalsRowCount="1" headerRowDxfId="162" dataDxfId="161" totalsRowDxfId="160">
  <autoFilter ref="A48:O52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700-000001000000}" name="LAZER" totalsRowLabel="Total" dataDxfId="159" totalsRowDxfId="158"/>
    <tableColumn id="2" xr3:uid="{00000000-0010-0000-0700-000002000000}" name="Janeiro" totalsRowFunction="sum" dataDxfId="157" totalsRowDxfId="156">
      <calculatedColumnFormula>SUMIF(#REF!,Lazer[[#This Row],[LAZER]],#REF!)</calculatedColumnFormula>
    </tableColumn>
    <tableColumn id="3" xr3:uid="{00000000-0010-0000-0700-000003000000}" name="Fevereiro" totalsRowFunction="sum" dataDxfId="155" totalsRowDxfId="154">
      <calculatedColumnFormula>SUMIF(#REF!,Lazer[[#This Row],[LAZER]],#REF!)</calculatedColumnFormula>
    </tableColumn>
    <tableColumn id="4" xr3:uid="{00000000-0010-0000-0700-000004000000}" name="Março" totalsRowFunction="sum" dataDxfId="153" totalsRowDxfId="152">
      <calculatedColumnFormula>SUMIF(#REF!,Lazer[[#This Row],[LAZER]],#REF!)</calculatedColumnFormula>
    </tableColumn>
    <tableColumn id="5" xr3:uid="{00000000-0010-0000-0700-000005000000}" name="Abr" totalsRowFunction="sum" dataDxfId="151" totalsRowDxfId="150">
      <calculatedColumnFormula>SUMIF(#REF!,Lazer[[#This Row],[LAZER]],#REF!)</calculatedColumnFormula>
    </tableColumn>
    <tableColumn id="6" xr3:uid="{00000000-0010-0000-0700-000006000000}" name="Mai" totalsRowFunction="sum" dataDxfId="149" totalsRowDxfId="148">
      <calculatedColumnFormula>SUMIF(#REF!,Lazer[[#This Row],[LAZER]],#REF!)</calculatedColumnFormula>
    </tableColumn>
    <tableColumn id="7" xr3:uid="{00000000-0010-0000-0700-000007000000}" name="Jun" totalsRowFunction="sum" dataDxfId="147" totalsRowDxfId="146">
      <calculatedColumnFormula>SUMIF(#REF!,Lazer[[#This Row],[LAZER]],#REF!)</calculatedColumnFormula>
    </tableColumn>
    <tableColumn id="8" xr3:uid="{00000000-0010-0000-0700-000008000000}" name="Julho" totalsRowFunction="sum" dataDxfId="145" totalsRowDxfId="144">
      <calculatedColumnFormula>SUMIF(#REF!,Lazer[[#This Row],[LAZER]],#REF!)</calculatedColumnFormula>
    </tableColumn>
    <tableColumn id="9" xr3:uid="{00000000-0010-0000-0700-000009000000}" name="Agosto" totalsRowFunction="sum" dataDxfId="143" totalsRowDxfId="142">
      <calculatedColumnFormula>SUMIF(#REF!,Lazer[[#This Row],[LAZER]],#REF!)</calculatedColumnFormula>
    </tableColumn>
    <tableColumn id="10" xr3:uid="{00000000-0010-0000-0700-00000A000000}" name="Setembro" totalsRowFunction="sum" dataDxfId="141" totalsRowDxfId="140">
      <calculatedColumnFormula>SUMIF(#REF!,Lazer[[#This Row],[LAZER]],#REF!)</calculatedColumnFormula>
    </tableColumn>
    <tableColumn id="11" xr3:uid="{00000000-0010-0000-0700-00000B000000}" name="Outubro" totalsRowFunction="sum" dataDxfId="139" totalsRowDxfId="138">
      <calculatedColumnFormula>SUMIF(#REF!,Lazer[[#This Row],[LAZER]],#REF!)</calculatedColumnFormula>
    </tableColumn>
    <tableColumn id="12" xr3:uid="{00000000-0010-0000-0700-00000C000000}" name="Novembro" totalsRowFunction="sum" dataDxfId="137" totalsRowDxfId="136"/>
    <tableColumn id="13" xr3:uid="{00000000-0010-0000-0700-00000D000000}" name="Dezembro" totalsRowFunction="sum" dataDxfId="135" totalsRowDxfId="134"/>
    <tableColumn id="14" xr3:uid="{00000000-0010-0000-0700-00000E000000}" name="Ano" totalsRowFunction="sum" dataDxfId="133" totalsRowDxfId="132">
      <calculatedColumnFormula>SUM(Lazer[[#This Row],[Janeiro]:[Dezembro]])</calculatedColumnFormula>
    </tableColumn>
    <tableColumn id="15" xr3:uid="{00000000-0010-0000-0700-00000F000000}" name="Minigráfico" dataDxfId="131" totalsRowDxfId="130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Insira itens de despesas de lazer e valores mensais nesta tabela. O valor anual e os totais mensais são calculados automaticamente e os minigráficos são atualizados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ensalidadesEAssinaturas" displayName="MensalidadesEAssinaturas" ref="A55:O63" totalsRowCount="1" headerRowDxfId="129" dataDxfId="128" totalsRowDxfId="127">
  <autoFilter ref="A55:O62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800-000001000000}" name="MENSALIDADES" totalsRowLabel="Total" dataDxfId="126" totalsRowDxfId="125"/>
    <tableColumn id="2" xr3:uid="{00000000-0010-0000-0800-000002000000}" name="Janeiro" totalsRowFunction="sum" dataDxfId="124" totalsRowDxfId="123">
      <calculatedColumnFormula>SUMIF(#REF!,MensalidadesEAssinaturas[[#This Row],[MENSALIDADES]],#REF!)</calculatedColumnFormula>
    </tableColumn>
    <tableColumn id="3" xr3:uid="{00000000-0010-0000-0800-000003000000}" name="Fevereiro" totalsRowFunction="sum" dataDxfId="122" totalsRowDxfId="121">
      <calculatedColumnFormula>SUMIF(#REF!,MensalidadesEAssinaturas[[#This Row],[MENSALIDADES]],#REF!)</calculatedColumnFormula>
    </tableColumn>
    <tableColumn id="4" xr3:uid="{00000000-0010-0000-0800-000004000000}" name="Março" totalsRowFunction="sum" totalsRowDxfId="120">
      <calculatedColumnFormula>SUMIF(#REF!,MensalidadesEAssinaturas[[#This Row],[MENSALIDADES]],#REF!)</calculatedColumnFormula>
    </tableColumn>
    <tableColumn id="5" xr3:uid="{00000000-0010-0000-0800-000005000000}" name="Abr" totalsRowFunction="sum" dataDxfId="119" totalsRowDxfId="118">
      <calculatedColumnFormula>SUMIF(#REF!,MensalidadesEAssinaturas[[#This Row],[MENSALIDADES]],#REF!)</calculatedColumnFormula>
    </tableColumn>
    <tableColumn id="6" xr3:uid="{00000000-0010-0000-0800-000006000000}" name="Mai" totalsRowFunction="sum" dataDxfId="117" totalsRowDxfId="116">
      <calculatedColumnFormula>SUMIF(#REF!,MensalidadesEAssinaturas[[#This Row],[MENSALIDADES]],#REF!)</calculatedColumnFormula>
    </tableColumn>
    <tableColumn id="7" xr3:uid="{00000000-0010-0000-0800-000007000000}" name="Jun" totalsRowFunction="sum" dataDxfId="115" totalsRowDxfId="114">
      <calculatedColumnFormula>SUMIF(#REF!,MensalidadesEAssinaturas[[#This Row],[MENSALIDADES]],#REF!)</calculatedColumnFormula>
    </tableColumn>
    <tableColumn id="8" xr3:uid="{00000000-0010-0000-0800-000008000000}" name="Julho" totalsRowFunction="sum" dataDxfId="113" totalsRowDxfId="112">
      <calculatedColumnFormula>SUMIF(#REF!,MensalidadesEAssinaturas[[#This Row],[MENSALIDADES]],#REF!)</calculatedColumnFormula>
    </tableColumn>
    <tableColumn id="9" xr3:uid="{00000000-0010-0000-0800-000009000000}" name="Agosto" totalsRowFunction="sum" dataDxfId="111" totalsRowDxfId="110">
      <calculatedColumnFormula>SUMIF(#REF!,MensalidadesEAssinaturas[[#This Row],[MENSALIDADES]],#REF!)</calculatedColumnFormula>
    </tableColumn>
    <tableColumn id="10" xr3:uid="{00000000-0010-0000-0800-00000A000000}" name="Setembro" totalsRowFunction="sum" dataDxfId="109" totalsRowDxfId="108">
      <calculatedColumnFormula>SUMIF(#REF!,MensalidadesEAssinaturas[[#This Row],[MENSALIDADES]],#REF!)</calculatedColumnFormula>
    </tableColumn>
    <tableColumn id="11" xr3:uid="{00000000-0010-0000-0800-00000B000000}" name="Outubro" totalsRowFunction="sum" dataDxfId="107" totalsRowDxfId="106">
      <calculatedColumnFormula>SUMIF(#REF!,MensalidadesEAssinaturas[[#This Row],[MENSALIDADES]],#REF!)</calculatedColumnFormula>
    </tableColumn>
    <tableColumn id="12" xr3:uid="{00000000-0010-0000-0800-00000C000000}" name="Novembro" totalsRowFunction="sum" dataDxfId="105" totalsRowDxfId="104"/>
    <tableColumn id="13" xr3:uid="{00000000-0010-0000-0800-00000D000000}" name="Dezembro" totalsRowFunction="sum" dataDxfId="103" totalsRowDxfId="102"/>
    <tableColumn id="14" xr3:uid="{00000000-0010-0000-0800-00000E000000}" name="Ano" totalsRowFunction="sum" dataDxfId="101" totalsRowDxfId="100">
      <calculatedColumnFormula>SUM(MensalidadesEAssinaturas[[#This Row],[Janeiro]:[Dezembro]])</calculatedColumnFormula>
    </tableColumn>
    <tableColumn id="15" xr3:uid="{00000000-0010-0000-0800-00000F000000}" name="Minigráfico" dataDxfId="99" totalsRowDxfId="98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Insira itens de mensalidades e assinaturas, e valores mensais nesta tabela. O valor anual e os totais mensais são calculados automaticamente e os minigráficos são atualizados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essoais" displayName="Pessoais" ref="A65:O71" totalsRowCount="1" headerRowDxfId="97" dataDxfId="96" totalsRowDxfId="95">
  <autoFilter ref="A65:O70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900-000001000000}" name="PESSOAIS" totalsRowLabel="Total" dataDxfId="94" totalsRowDxfId="93"/>
    <tableColumn id="2" xr3:uid="{00000000-0010-0000-0900-000002000000}" name="Janeiro" totalsRowFunction="sum" totalsRowDxfId="92"/>
    <tableColumn id="3" xr3:uid="{00000000-0010-0000-0900-000003000000}" name="Fevereiro" totalsRowFunction="sum" dataDxfId="91" totalsRowDxfId="90"/>
    <tableColumn id="4" xr3:uid="{00000000-0010-0000-0900-000004000000}" name="Março" totalsRowFunction="sum" totalsRowDxfId="89"/>
    <tableColumn id="5" xr3:uid="{00000000-0010-0000-0900-000005000000}" name="Abr" totalsRowFunction="sum" dataDxfId="88" totalsRowDxfId="87"/>
    <tableColumn id="6" xr3:uid="{00000000-0010-0000-0900-000006000000}" name="Mai" totalsRowFunction="sum" totalsRowDxfId="86"/>
    <tableColumn id="7" xr3:uid="{00000000-0010-0000-0900-000007000000}" name="Jun" totalsRowFunction="sum" dataDxfId="85" totalsRowDxfId="84"/>
    <tableColumn id="8" xr3:uid="{00000000-0010-0000-0900-000008000000}" name="Julho" totalsRowFunction="sum" totalsRowDxfId="83"/>
    <tableColumn id="9" xr3:uid="{00000000-0010-0000-0900-000009000000}" name="Agosto" totalsRowFunction="sum" dataDxfId="82" totalsRowDxfId="81"/>
    <tableColumn id="10" xr3:uid="{00000000-0010-0000-0900-00000A000000}" name="Setembro" totalsRowFunction="sum" totalsRowDxfId="80"/>
    <tableColumn id="11" xr3:uid="{00000000-0010-0000-0900-00000B000000}" name="Outubro" totalsRowFunction="sum" dataDxfId="79" totalsRowDxfId="78"/>
    <tableColumn id="12" xr3:uid="{00000000-0010-0000-0900-00000C000000}" name="Novembro" totalsRowFunction="sum" totalsRowDxfId="77"/>
    <tableColumn id="13" xr3:uid="{00000000-0010-0000-0900-00000D000000}" name="Dezembro" totalsRowFunction="sum" dataDxfId="76" totalsRowDxfId="75"/>
    <tableColumn id="14" xr3:uid="{00000000-0010-0000-0900-00000E000000}" name="Ano" totalsRowFunction="sum" totalsRowDxfId="74">
      <calculatedColumnFormula>SUM(Pessoais[[#This Row],[Janeiro]:[Dezembro]])</calculatedColumnFormula>
    </tableColumn>
    <tableColumn id="15" xr3:uid="{00000000-0010-0000-0900-00000F000000}" name="Minigráfico" dataDxfId="73" totalsRowDxfId="72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Insira itens de despesas pessoais e valores mensais nesta tabela. O valor anual e os totais mensais são calculados automaticamente e os minigráficos são atualizados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inanceiro" displayName="Financeiro" ref="A73:O77" totalsRowCount="1" headerRowDxfId="71" dataDxfId="70" totalsRowDxfId="69">
  <autoFilter ref="A73:O76" xr:uid="{00000000-0009-0000-0100-00000B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A00-000001000000}" name="OBRIGAÇÕES FINANCEIRAS" totalsRowLabel="Total" dataDxfId="68" totalsRowDxfId="67"/>
    <tableColumn id="2" xr3:uid="{00000000-0010-0000-0A00-000002000000}" name="Janeiro" totalsRowFunction="sum" totalsRowDxfId="66">
      <calculatedColumnFormula>SUMIF(#REF!,Financeiro[[#This Row],[OBRIGAÇÕES FINANCEIRAS]],#REF!)</calculatedColumnFormula>
    </tableColumn>
    <tableColumn id="3" xr3:uid="{00000000-0010-0000-0A00-000003000000}" name="Fevereiro" totalsRowFunction="sum" dataDxfId="65" totalsRowDxfId="64">
      <calculatedColumnFormula>SUMIF(#REF!,Financeiro[[#This Row],[OBRIGAÇÕES FINANCEIRAS]],#REF!)</calculatedColumnFormula>
    </tableColumn>
    <tableColumn id="4" xr3:uid="{00000000-0010-0000-0A00-000004000000}" name="Março" totalsRowFunction="sum" totalsRowDxfId="63">
      <calculatedColumnFormula>SUMIF(#REF!,Financeiro[[#This Row],[OBRIGAÇÕES FINANCEIRAS]],#REF!)</calculatedColumnFormula>
    </tableColumn>
    <tableColumn id="5" xr3:uid="{00000000-0010-0000-0A00-000005000000}" name="Abr" totalsRowFunction="sum" dataDxfId="62" totalsRowDxfId="61">
      <calculatedColumnFormula>SUMIF(#REF!,Financeiro[[#This Row],[OBRIGAÇÕES FINANCEIRAS]],#REF!)</calculatedColumnFormula>
    </tableColumn>
    <tableColumn id="6" xr3:uid="{00000000-0010-0000-0A00-000006000000}" name="Mai" totalsRowFunction="sum" totalsRowDxfId="60">
      <calculatedColumnFormula>SUMIF(#REF!,Financeiro[[#This Row],[OBRIGAÇÕES FINANCEIRAS]],#REF!)</calculatedColumnFormula>
    </tableColumn>
    <tableColumn id="7" xr3:uid="{00000000-0010-0000-0A00-000007000000}" name="Jun" totalsRowFunction="sum" dataDxfId="59" totalsRowDxfId="58">
      <calculatedColumnFormula>SUMIF(#REF!,Financeiro[[#This Row],[OBRIGAÇÕES FINANCEIRAS]],#REF!)</calculatedColumnFormula>
    </tableColumn>
    <tableColumn id="8" xr3:uid="{00000000-0010-0000-0A00-000008000000}" name="Julho" totalsRowFunction="sum" totalsRowDxfId="57">
      <calculatedColumnFormula>SUMIF(#REF!,Financeiro[[#This Row],[OBRIGAÇÕES FINANCEIRAS]],#REF!)</calculatedColumnFormula>
    </tableColumn>
    <tableColumn id="9" xr3:uid="{00000000-0010-0000-0A00-000009000000}" name="Agosto" totalsRowFunction="sum" dataDxfId="56" totalsRowDxfId="55">
      <calculatedColumnFormula>SUMIF(#REF!,Financeiro[[#This Row],[OBRIGAÇÕES FINANCEIRAS]],#REF!)</calculatedColumnFormula>
    </tableColumn>
    <tableColumn id="10" xr3:uid="{00000000-0010-0000-0A00-00000A000000}" name="Setembro" totalsRowFunction="sum" totalsRowDxfId="54">
      <calculatedColumnFormula>SUMIF(#REF!,Financeiro[[#This Row],[OBRIGAÇÕES FINANCEIRAS]],#REF!)</calculatedColumnFormula>
    </tableColumn>
    <tableColumn id="11" xr3:uid="{00000000-0010-0000-0A00-00000B000000}" name="Outubro" totalsRowFunction="sum" dataDxfId="53" totalsRowDxfId="52">
      <calculatedColumnFormula>SUMIF(#REF!,Financeiro[[#This Row],[OBRIGAÇÕES FINANCEIRAS]],#REF!)</calculatedColumnFormula>
    </tableColumn>
    <tableColumn id="12" xr3:uid="{00000000-0010-0000-0A00-00000C000000}" name="Novembro" totalsRowFunction="sum" totalsRowDxfId="51"/>
    <tableColumn id="13" xr3:uid="{00000000-0010-0000-0A00-00000D000000}" name="Dezembro" totalsRowFunction="sum" dataDxfId="50" totalsRowDxfId="49"/>
    <tableColumn id="14" xr3:uid="{00000000-0010-0000-0A00-00000E000000}" name="Ano" totalsRowFunction="sum" totalsRowDxfId="48">
      <calculatedColumnFormula>SUM(Financeiro[[#This Row],[Janeiro]:[Dezembro]])</calculatedColumnFormula>
    </tableColumn>
    <tableColumn id="15" xr3:uid="{00000000-0010-0000-0A00-00000F000000}" name="Minigráfico" dataDxfId="47" totalsRowDxfId="46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Insira itens de obrigações financeiras e valores mensais nesta tabela. O valor anual e os totais mensais são calculados automaticamente e os minigráficos são atualizados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iversos" displayName="Diversos" ref="A79:O83" totalsRowCount="1" headerRowDxfId="45" dataDxfId="44" totalsRowDxfId="43">
  <autoFilter ref="A79:O82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B00-000001000000}" name="APORTES" totalsRowLabel="Total" dataDxfId="42" totalsRowDxfId="41"/>
    <tableColumn id="2" xr3:uid="{00000000-0010-0000-0B00-000002000000}" name="Janeiro" totalsRowFunction="sum" totalsRowDxfId="40">
      <calculatedColumnFormula>SUMIF(#REF!,Diversos[[#This Row],[APORTES]],#REF!)</calculatedColumnFormula>
    </tableColumn>
    <tableColumn id="3" xr3:uid="{00000000-0010-0000-0B00-000003000000}" name="Fevereiro" totalsRowFunction="sum" dataDxfId="39" totalsRowDxfId="38">
      <calculatedColumnFormula>SUMIF(#REF!,Diversos[[#This Row],[APORTES]],#REF!)</calculatedColumnFormula>
    </tableColumn>
    <tableColumn id="4" xr3:uid="{00000000-0010-0000-0B00-000004000000}" name="Março" totalsRowFunction="sum" totalsRowDxfId="37">
      <calculatedColumnFormula>SUMIF(#REF!,Diversos[[#This Row],[APORTES]],#REF!)</calculatedColumnFormula>
    </tableColumn>
    <tableColumn id="5" xr3:uid="{00000000-0010-0000-0B00-000005000000}" name="Abr" totalsRowFunction="sum" dataDxfId="36" totalsRowDxfId="35">
      <calculatedColumnFormula>SUMIF(#REF!,Diversos[[#This Row],[APORTES]],#REF!)</calculatedColumnFormula>
    </tableColumn>
    <tableColumn id="6" xr3:uid="{00000000-0010-0000-0B00-000006000000}" name="Maio" totalsRowFunction="sum" totalsRowDxfId="34">
      <calculatedColumnFormula>SUMIF(#REF!,Diversos[[#This Row],[APORTES]],#REF!)</calculatedColumnFormula>
    </tableColumn>
    <tableColumn id="7" xr3:uid="{00000000-0010-0000-0B00-000007000000}" name="Jun" totalsRowFunction="sum" dataDxfId="33" totalsRowDxfId="32">
      <calculatedColumnFormula>SUMIF(#REF!,Diversos[[#This Row],[APORTES]],#REF!)</calculatedColumnFormula>
    </tableColumn>
    <tableColumn id="8" xr3:uid="{00000000-0010-0000-0B00-000008000000}" name="Julho" totalsRowFunction="sum" totalsRowDxfId="31">
      <calculatedColumnFormula>SUMIF(#REF!,Diversos[[#This Row],[APORTES]],#REF!)</calculatedColumnFormula>
    </tableColumn>
    <tableColumn id="9" xr3:uid="{00000000-0010-0000-0B00-000009000000}" name="Agosto" totalsRowFunction="sum" dataDxfId="30" totalsRowDxfId="29">
      <calculatedColumnFormula>SUMIF(#REF!,Diversos[[#This Row],[APORTES]],#REF!)</calculatedColumnFormula>
    </tableColumn>
    <tableColumn id="10" xr3:uid="{00000000-0010-0000-0B00-00000A000000}" name="Setembro" totalsRowFunction="sum" totalsRowDxfId="28">
      <calculatedColumnFormula>SUMIF(#REF!,Diversos[[#This Row],[APORTES]],#REF!)</calculatedColumnFormula>
    </tableColumn>
    <tableColumn id="11" xr3:uid="{00000000-0010-0000-0B00-00000B000000}" name="Outubro" totalsRowFunction="sum" dataDxfId="27" totalsRowDxfId="26">
      <calculatedColumnFormula>SUMIF(#REF!,Diversos[[#This Row],[APORTES]],#REF!)</calculatedColumnFormula>
    </tableColumn>
    <tableColumn id="12" xr3:uid="{00000000-0010-0000-0B00-00000C000000}" name="Novembro" totalsRowFunction="sum" totalsRowDxfId="25"/>
    <tableColumn id="13" xr3:uid="{00000000-0010-0000-0B00-00000D000000}" name="Dezembro" totalsRowFunction="sum" dataDxfId="24" totalsRowDxfId="23"/>
    <tableColumn id="14" xr3:uid="{00000000-0010-0000-0B00-00000E000000}" name="Ano" totalsRowFunction="sum" totalsRowDxfId="22">
      <calculatedColumnFormula>SUM(Diversos[[#This Row],[Janeiro]:[Dezembro]])</calculatedColumnFormula>
    </tableColumn>
    <tableColumn id="15" xr3:uid="{00000000-0010-0000-0B00-00000F000000}" name="Minigráfico" dataDxfId="21" totalsRowDxfId="20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Insira pagamentos e itens diversos nesta tabela. O valor anual e os totais mensais são calculados automaticamente e os minigráficos são atualizados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otais" displayName="Totais" ref="A85:O87" totalsRowShown="0" headerRowDxfId="19" dataDxfId="18">
  <tableColumns count="15">
    <tableColumn id="1" xr3:uid="{00000000-0010-0000-0C00-000001000000}" name="TOTAIS" dataDxfId="17"/>
    <tableColumn id="2" xr3:uid="{00000000-0010-0000-0C00-000002000000}" name="JAN" dataDxfId="16">
      <calculatedColumnFormula>Receita[[#Totals],[Janeiro]]-B85</calculatedColumnFormula>
    </tableColumn>
    <tableColumn id="3" xr3:uid="{00000000-0010-0000-0C00-000003000000}" name="FEV" dataDxfId="15">
      <calculatedColumnFormula>Receita[[#Totals],[Fevereiro]]-C85</calculatedColumnFormula>
    </tableColumn>
    <tableColumn id="4" xr3:uid="{00000000-0010-0000-0C00-000004000000}" name="MAR" dataDxfId="14">
      <calculatedColumnFormula>Receita[[#Totals],[Março]]-D85</calculatedColumnFormula>
    </tableColumn>
    <tableColumn id="5" xr3:uid="{00000000-0010-0000-0C00-000005000000}" name="ABR" dataDxfId="13">
      <calculatedColumnFormula>Receita[[#Totals],[Abr]]-E85</calculatedColumnFormula>
    </tableColumn>
    <tableColumn id="6" xr3:uid="{00000000-0010-0000-0C00-000006000000}" name="MAIO" dataDxfId="12">
      <calculatedColumnFormula>Receita[[#Totals],[Maio]]-F85</calculatedColumnFormula>
    </tableColumn>
    <tableColumn id="7" xr3:uid="{00000000-0010-0000-0C00-000007000000}" name="JUN" dataDxfId="11">
      <calculatedColumnFormula>Receita[[#Totals],[Jun]]-G85</calculatedColumnFormula>
    </tableColumn>
    <tableColumn id="8" xr3:uid="{00000000-0010-0000-0C00-000008000000}" name="JUL" dataDxfId="10">
      <calculatedColumnFormula>Receita[[#Totals],[Julho]]-H85</calculatedColumnFormula>
    </tableColumn>
    <tableColumn id="9" xr3:uid="{00000000-0010-0000-0C00-000009000000}" name="AGO" dataDxfId="9">
      <calculatedColumnFormula>Receita[[#Totals],[Agosto]]-I85</calculatedColumnFormula>
    </tableColumn>
    <tableColumn id="10" xr3:uid="{00000000-0010-0000-0C00-00000A000000}" name="SET" dataDxfId="8">
      <calculatedColumnFormula>Receita[[#Totals],[Setembro]]-J85</calculatedColumnFormula>
    </tableColumn>
    <tableColumn id="11" xr3:uid="{00000000-0010-0000-0C00-00000B000000}" name="OUT" dataDxfId="7">
      <calculatedColumnFormula>Receita[[#Totals],[Outubro]]-K85</calculatedColumnFormula>
    </tableColumn>
    <tableColumn id="12" xr3:uid="{00000000-0010-0000-0C00-00000C000000}" name="NOV" dataDxfId="6">
      <calculatedColumnFormula>Receita[[#Totals],[Novembro]]-L85</calculatedColumnFormula>
    </tableColumn>
    <tableColumn id="13" xr3:uid="{00000000-0010-0000-0C00-00000D000000}" name="DEZ" dataDxfId="5">
      <calculatedColumnFormula>Receita[[#Totals],[Dezembro]]-M85</calculatedColumnFormula>
    </tableColumn>
    <tableColumn id="14" xr3:uid="{00000000-0010-0000-0C00-00000E000000}" name="ANO" dataDxfId="4">
      <calculatedColumnFormula>Receita[[#Totals],[Ano]]-N85</calculatedColumnFormula>
    </tableColumn>
    <tableColumn id="15" xr3:uid="{00000000-0010-0000-0C00-00000F000000}" name="MINIGRÁFICO" dataDxfId="3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As despesas totais e a sobra e falta no orçamento são calculadas automaticamente para cada mês e ano inteiro, e os minigráficos são atualizados nesta tabela"/>
    </ext>
  </extLst>
</table>
</file>

<file path=xl/theme/theme1.xml><?xml version="1.0" encoding="utf-8"?>
<a:theme xmlns:a="http://schemas.openxmlformats.org/drawingml/2006/main" name="Office Theme">
  <a:themeElements>
    <a:clrScheme name="Custom 23">
      <a:dk1>
        <a:sysClr val="windowText" lastClr="000000"/>
      </a:dk1>
      <a:lt1>
        <a:sysClr val="window" lastClr="FFFFFF"/>
      </a:lt1>
      <a:dk2>
        <a:srgbClr val="304157"/>
      </a:dk2>
      <a:lt2>
        <a:srgbClr val="E7E6E6"/>
      </a:lt2>
      <a:accent1>
        <a:srgbClr val="1B79AD"/>
      </a:accent1>
      <a:accent2>
        <a:srgbClr val="1D7B7D"/>
      </a:accent2>
      <a:accent3>
        <a:srgbClr val="EF4755"/>
      </a:accent3>
      <a:accent4>
        <a:srgbClr val="FFC000"/>
      </a:accent4>
      <a:accent5>
        <a:srgbClr val="176795"/>
      </a:accent5>
      <a:accent6>
        <a:srgbClr val="4D81BF"/>
      </a:accent6>
      <a:hlink>
        <a:srgbClr val="F78F2F"/>
      </a:hlink>
      <a:folHlink>
        <a:srgbClr val="F78F2F"/>
      </a:folHlink>
    </a:clrScheme>
    <a:fontScheme name="Custom 13">
      <a:majorFont>
        <a:latin typeface="Gill Sans MT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vmlDrawing" Target="../drawings/vmlDrawing1.vml"/><Relationship Id="rId16" Type="http://schemas.openxmlformats.org/officeDocument/2006/relationships/comments" Target="../comments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/>
    <pageSetUpPr autoPageBreaks="0" fitToPage="1"/>
  </sheetPr>
  <dimension ref="A2:O88"/>
  <sheetViews>
    <sheetView showGridLines="0" tabSelected="1" zoomScale="96" zoomScaleNormal="96" workbookViewId="0">
      <selection activeCell="B1" sqref="B1"/>
    </sheetView>
  </sheetViews>
  <sheetFormatPr defaultRowHeight="30" customHeight="1" x14ac:dyDescent="0.3"/>
  <cols>
    <col min="1" max="1" width="48.69140625" customWidth="1"/>
    <col min="2" max="2" width="11.61328125" style="1" bestFit="1" customWidth="1"/>
    <col min="3" max="3" width="12.84375" style="1" bestFit="1" customWidth="1"/>
    <col min="4" max="14" width="12.3828125" style="1" customWidth="1"/>
    <col min="15" max="15" width="15.23046875" bestFit="1" customWidth="1"/>
    <col min="16" max="16" width="2.69140625" customWidth="1"/>
  </cols>
  <sheetData>
    <row r="2" spans="1:15" ht="21" customHeight="1" x14ac:dyDescent="0.3">
      <c r="A2" s="5" t="s">
        <v>0</v>
      </c>
      <c r="B2" s="6" t="s">
        <v>27</v>
      </c>
      <c r="C2" s="6" t="s">
        <v>29</v>
      </c>
      <c r="D2" s="6" t="s">
        <v>31</v>
      </c>
      <c r="E2" s="6" t="s">
        <v>33</v>
      </c>
      <c r="F2" s="6" t="s">
        <v>35</v>
      </c>
      <c r="G2" s="6" t="s">
        <v>38</v>
      </c>
      <c r="H2" s="6" t="s">
        <v>40</v>
      </c>
      <c r="I2" s="6" t="s">
        <v>42</v>
      </c>
      <c r="J2" s="6" t="s">
        <v>44</v>
      </c>
      <c r="K2" s="6" t="s">
        <v>46</v>
      </c>
      <c r="L2" s="6" t="s">
        <v>48</v>
      </c>
      <c r="M2" s="6" t="s">
        <v>50</v>
      </c>
      <c r="N2" s="6" t="s">
        <v>52</v>
      </c>
      <c r="O2" s="6"/>
    </row>
    <row r="3" spans="1:15" ht="16" customHeight="1" x14ac:dyDescent="0.3">
      <c r="A3" s="7" t="s">
        <v>0</v>
      </c>
      <c r="B3" s="25" t="s">
        <v>28</v>
      </c>
      <c r="C3" s="25" t="s">
        <v>30</v>
      </c>
      <c r="D3" s="25" t="s">
        <v>32</v>
      </c>
      <c r="E3" s="25" t="s">
        <v>34</v>
      </c>
      <c r="F3" s="25" t="s">
        <v>36</v>
      </c>
      <c r="G3" s="25" t="s">
        <v>39</v>
      </c>
      <c r="H3" s="25" t="s">
        <v>41</v>
      </c>
      <c r="I3" s="25" t="s">
        <v>43</v>
      </c>
      <c r="J3" s="25" t="s">
        <v>45</v>
      </c>
      <c r="K3" s="25" t="s">
        <v>47</v>
      </c>
      <c r="L3" s="25" t="s">
        <v>49</v>
      </c>
      <c r="M3" s="25" t="s">
        <v>51</v>
      </c>
      <c r="N3" s="25" t="s">
        <v>53</v>
      </c>
      <c r="O3" s="25" t="s">
        <v>54</v>
      </c>
    </row>
    <row r="4" spans="1:15" ht="16" customHeight="1" x14ac:dyDescent="0.3">
      <c r="A4" s="4" t="s">
        <v>73</v>
      </c>
      <c r="B4" s="39">
        <v>11398.81</v>
      </c>
      <c r="C4" s="39">
        <v>2138.2199999999998</v>
      </c>
      <c r="D4" s="39">
        <v>12055.4</v>
      </c>
      <c r="E4" s="39">
        <v>16970.04</v>
      </c>
      <c r="F4" s="39">
        <v>21585.83</v>
      </c>
      <c r="G4" s="39">
        <v>15107.35</v>
      </c>
      <c r="H4" s="39">
        <v>27747.599999999999</v>
      </c>
      <c r="I4" s="39">
        <v>20255.96</v>
      </c>
      <c r="J4" s="39">
        <v>16194.89</v>
      </c>
      <c r="K4" s="39">
        <v>13497.75</v>
      </c>
      <c r="L4" s="39">
        <v>12621.56</v>
      </c>
      <c r="M4" s="39">
        <v>0</v>
      </c>
      <c r="N4" s="39">
        <f>SUM(Receita[[#This Row],[Janeiro]:[Dezembro]])</f>
        <v>169573.40999999997</v>
      </c>
      <c r="O4" s="39"/>
    </row>
    <row r="5" spans="1:15" ht="16" customHeight="1" x14ac:dyDescent="0.3">
      <c r="A5" s="4" t="s">
        <v>77</v>
      </c>
      <c r="B5" s="39">
        <v>66.2</v>
      </c>
      <c r="C5" s="39">
        <v>61.2</v>
      </c>
      <c r="D5" s="39">
        <v>35</v>
      </c>
      <c r="E5" s="39">
        <v>147</v>
      </c>
      <c r="F5" s="39">
        <v>59.1</v>
      </c>
      <c r="G5" s="39">
        <v>118.1</v>
      </c>
      <c r="H5" s="39">
        <v>42.3</v>
      </c>
      <c r="I5" s="39">
        <v>73.5</v>
      </c>
      <c r="J5" s="39">
        <v>102.7</v>
      </c>
      <c r="K5" s="39">
        <v>33</v>
      </c>
      <c r="L5" s="39">
        <v>0</v>
      </c>
      <c r="M5" s="39">
        <v>0</v>
      </c>
      <c r="N5" s="39">
        <f>SUM(Receita[[#This Row],[Janeiro]:[Dezembro]])</f>
        <v>738.1</v>
      </c>
      <c r="O5" s="39"/>
    </row>
    <row r="6" spans="1:15" ht="16" customHeight="1" x14ac:dyDescent="0.3">
      <c r="A6" s="4" t="s">
        <v>77</v>
      </c>
      <c r="B6" s="39">
        <v>460.45</v>
      </c>
      <c r="C6" s="39">
        <v>905.94</v>
      </c>
      <c r="D6" s="39">
        <v>1142.02</v>
      </c>
      <c r="E6" s="39">
        <v>928.22</v>
      </c>
      <c r="F6" s="39">
        <v>1110.04</v>
      </c>
      <c r="G6" s="39">
        <v>599.21</v>
      </c>
      <c r="H6" s="39">
        <v>209.83</v>
      </c>
      <c r="I6" s="39">
        <v>645.84</v>
      </c>
      <c r="J6" s="39">
        <v>1209.58</v>
      </c>
      <c r="K6" s="39">
        <v>1249.48</v>
      </c>
      <c r="L6" s="39">
        <v>0</v>
      </c>
      <c r="M6" s="39">
        <v>0</v>
      </c>
      <c r="N6" s="39">
        <f>SUM(Receita[[#This Row],[Janeiro]:[Dezembro]])</f>
        <v>8460.61</v>
      </c>
      <c r="O6" s="39"/>
    </row>
    <row r="7" spans="1:15" ht="16" customHeight="1" x14ac:dyDescent="0.3">
      <c r="A7" s="4" t="s">
        <v>77</v>
      </c>
      <c r="B7" s="39">
        <v>0</v>
      </c>
      <c r="C7" s="39">
        <v>200</v>
      </c>
      <c r="D7" s="39">
        <v>22.34</v>
      </c>
      <c r="E7" s="39">
        <v>22.34</v>
      </c>
      <c r="F7" s="39">
        <v>22.34</v>
      </c>
      <c r="G7" s="39">
        <v>22.34</v>
      </c>
      <c r="H7" s="39">
        <v>22.34</v>
      </c>
      <c r="I7" s="39">
        <v>22.34</v>
      </c>
      <c r="J7" s="39">
        <v>22.34</v>
      </c>
      <c r="K7" s="39">
        <v>22.34</v>
      </c>
      <c r="L7" s="39">
        <v>0</v>
      </c>
      <c r="M7" s="39">
        <v>0</v>
      </c>
      <c r="N7" s="39">
        <f>SUM(Receita[[#This Row],[Janeiro]:[Dezembro]])</f>
        <v>378.71999999999986</v>
      </c>
      <c r="O7" s="39"/>
    </row>
    <row r="8" spans="1:15" ht="21" customHeight="1" thickBot="1" x14ac:dyDescent="0.35">
      <c r="A8" s="23" t="s">
        <v>1</v>
      </c>
      <c r="B8" s="40">
        <f>SUBTOTAL(109,Receita[Janeiro])</f>
        <v>11925.460000000001</v>
      </c>
      <c r="C8" s="40">
        <f>SUBTOTAL(109,Receita[Fevereiro])</f>
        <v>3305.3599999999997</v>
      </c>
      <c r="D8" s="40">
        <f>SUBTOTAL(109,Receita[Março])</f>
        <v>13254.76</v>
      </c>
      <c r="E8" s="40">
        <f>SUBTOTAL(109,Receita[Abr])</f>
        <v>18067.600000000002</v>
      </c>
      <c r="F8" s="40">
        <f>SUBTOTAL(109,Receita[Maio])</f>
        <v>22777.31</v>
      </c>
      <c r="G8" s="40">
        <f>SUBTOTAL(109,Receita[Jun])</f>
        <v>15847</v>
      </c>
      <c r="H8" s="40">
        <f>SUBTOTAL(109,Receita[Julho])</f>
        <v>28022.07</v>
      </c>
      <c r="I8" s="40">
        <f>SUBTOTAL(109,Receita[Agosto])</f>
        <v>20997.64</v>
      </c>
      <c r="J8" s="40">
        <f>SUBTOTAL(109,Receita[Setembro])</f>
        <v>17529.509999999998</v>
      </c>
      <c r="K8" s="40">
        <f>SUBTOTAL(109,Receita[Outubro])</f>
        <v>14802.57</v>
      </c>
      <c r="L8" s="40">
        <f>SUBTOTAL(109,Receita[Novembro])</f>
        <v>12621.56</v>
      </c>
      <c r="M8" s="40">
        <f>SUBTOTAL(109,Receita[Dezembro])</f>
        <v>0</v>
      </c>
      <c r="N8" s="40">
        <f>SUBTOTAL(109,Receita[Ano])</f>
        <v>179150.84</v>
      </c>
      <c r="O8" s="24"/>
    </row>
    <row r="9" spans="1:15" ht="24" customHeight="1" thickTop="1" x14ac:dyDescent="0.3">
      <c r="B9"/>
      <c r="C9"/>
      <c r="D9"/>
      <c r="E9"/>
      <c r="F9"/>
      <c r="G9"/>
      <c r="H9"/>
      <c r="I9"/>
      <c r="J9"/>
      <c r="K9"/>
      <c r="L9"/>
      <c r="M9"/>
      <c r="N9"/>
    </row>
    <row r="10" spans="1:15" ht="21" customHeight="1" x14ac:dyDescent="0.3">
      <c r="A10" s="5" t="s">
        <v>2</v>
      </c>
      <c r="B10" s="6" t="s">
        <v>27</v>
      </c>
      <c r="C10" s="6" t="s">
        <v>29</v>
      </c>
      <c r="D10" s="6" t="s">
        <v>31</v>
      </c>
      <c r="E10" s="6" t="s">
        <v>33</v>
      </c>
      <c r="F10" s="6" t="s">
        <v>35</v>
      </c>
      <c r="G10" s="6" t="s">
        <v>38</v>
      </c>
      <c r="H10" s="6" t="s">
        <v>40</v>
      </c>
      <c r="I10" s="6" t="s">
        <v>42</v>
      </c>
      <c r="J10" s="6" t="s">
        <v>44</v>
      </c>
      <c r="K10" s="6" t="s">
        <v>46</v>
      </c>
      <c r="L10" s="6" t="s">
        <v>48</v>
      </c>
      <c r="M10" s="6" t="s">
        <v>50</v>
      </c>
      <c r="N10" s="6" t="s">
        <v>52</v>
      </c>
      <c r="O10" s="6"/>
    </row>
    <row r="11" spans="1:15" ht="16" customHeight="1" x14ac:dyDescent="0.3">
      <c r="A11" s="8" t="s">
        <v>3</v>
      </c>
      <c r="B11" s="25" t="s">
        <v>28</v>
      </c>
      <c r="C11" s="25" t="s">
        <v>30</v>
      </c>
      <c r="D11" s="25" t="s">
        <v>32</v>
      </c>
      <c r="E11" s="25" t="s">
        <v>34</v>
      </c>
      <c r="F11" s="25" t="s">
        <v>37</v>
      </c>
      <c r="G11" s="25" t="s">
        <v>39</v>
      </c>
      <c r="H11" s="25" t="s">
        <v>41</v>
      </c>
      <c r="I11" s="25" t="s">
        <v>43</v>
      </c>
      <c r="J11" s="25" t="s">
        <v>45</v>
      </c>
      <c r="K11" s="25" t="s">
        <v>47</v>
      </c>
      <c r="L11" s="25" t="s">
        <v>49</v>
      </c>
      <c r="M11" s="25" t="s">
        <v>51</v>
      </c>
      <c r="N11" s="25" t="s">
        <v>53</v>
      </c>
      <c r="O11" s="25" t="s">
        <v>54</v>
      </c>
    </row>
    <row r="12" spans="1:15" ht="16" customHeight="1" x14ac:dyDescent="0.3">
      <c r="A12" s="3" t="s">
        <v>71</v>
      </c>
      <c r="B12" s="60">
        <v>1022.7</v>
      </c>
      <c r="C12" s="60">
        <v>1019.85</v>
      </c>
      <c r="D12" s="60">
        <v>1029.05</v>
      </c>
      <c r="E12" s="60">
        <v>1004.33</v>
      </c>
      <c r="F12" s="60">
        <v>1029.48</v>
      </c>
      <c r="G12" s="60">
        <v>1033.8599999999999</v>
      </c>
      <c r="H12" s="60">
        <v>1051.93</v>
      </c>
      <c r="I12" s="60">
        <v>1054.0899999999999</v>
      </c>
      <c r="J12" s="60">
        <v>1056.79</v>
      </c>
      <c r="K12" s="60">
        <v>1055.8499999999999</v>
      </c>
      <c r="L12" s="41">
        <v>1000</v>
      </c>
      <c r="M12" s="41">
        <v>0</v>
      </c>
      <c r="N12" s="41">
        <f>SUM(Domésticas[[#This Row],[Janeiro]:[Dezembro]])</f>
        <v>11357.929999999998</v>
      </c>
      <c r="O12" s="41"/>
    </row>
    <row r="13" spans="1:15" ht="16" customHeight="1" x14ac:dyDescent="0.3">
      <c r="A13" s="3" t="s">
        <v>57</v>
      </c>
      <c r="B13" s="60">
        <v>108.21</v>
      </c>
      <c r="C13" s="60">
        <v>115.42</v>
      </c>
      <c r="D13" s="60">
        <v>78.94</v>
      </c>
      <c r="E13" s="60">
        <v>86.6</v>
      </c>
      <c r="F13" s="60">
        <v>133.32</v>
      </c>
      <c r="G13" s="60">
        <v>225.69</v>
      </c>
      <c r="H13" s="60">
        <v>180.77</v>
      </c>
      <c r="I13" s="60">
        <v>335.49</v>
      </c>
      <c r="J13" s="60">
        <v>163.37</v>
      </c>
      <c r="K13" s="60">
        <v>152.9</v>
      </c>
      <c r="L13" s="41">
        <v>97</v>
      </c>
      <c r="M13" s="41">
        <v>0</v>
      </c>
      <c r="N13" s="41">
        <f>SUM(Domésticas[[#This Row],[Janeiro]:[Dezembro]])</f>
        <v>1677.71</v>
      </c>
      <c r="O13" s="42"/>
    </row>
    <row r="14" spans="1:15" ht="16" customHeight="1" x14ac:dyDescent="0.3">
      <c r="A14" s="3" t="s">
        <v>58</v>
      </c>
      <c r="B14" s="60">
        <v>403.55</v>
      </c>
      <c r="C14" s="60">
        <v>356.35</v>
      </c>
      <c r="D14" s="60">
        <v>577.89</v>
      </c>
      <c r="E14" s="60">
        <v>588.41999999999996</v>
      </c>
      <c r="F14" s="60">
        <v>360.5</v>
      </c>
      <c r="G14" s="60">
        <v>327.19</v>
      </c>
      <c r="H14" s="60">
        <v>345</v>
      </c>
      <c r="I14" s="60">
        <v>618.73</v>
      </c>
      <c r="J14" s="60">
        <v>428.57</v>
      </c>
      <c r="K14" s="60">
        <v>459.91</v>
      </c>
      <c r="L14" s="41">
        <v>300</v>
      </c>
      <c r="M14" s="41">
        <v>0</v>
      </c>
      <c r="N14" s="41">
        <f>SUM(Domésticas[[#This Row],[Janeiro]:[Dezembro]])</f>
        <v>4766.1100000000006</v>
      </c>
      <c r="O14" s="41"/>
    </row>
    <row r="15" spans="1:15" ht="16" customHeight="1" x14ac:dyDescent="0.3">
      <c r="A15" s="3" t="s">
        <v>59</v>
      </c>
      <c r="B15" s="60">
        <v>572.41</v>
      </c>
      <c r="C15" s="60">
        <v>566.63</v>
      </c>
      <c r="D15" s="60">
        <v>581.34</v>
      </c>
      <c r="E15" s="60">
        <v>582.6</v>
      </c>
      <c r="F15" s="60">
        <v>579.91999999999996</v>
      </c>
      <c r="G15" s="60">
        <v>582.6</v>
      </c>
      <c r="H15" s="60">
        <v>579.54</v>
      </c>
      <c r="I15" s="60">
        <v>605.80999999999995</v>
      </c>
      <c r="J15" s="60">
        <v>605.65</v>
      </c>
      <c r="K15" s="60">
        <v>605.88</v>
      </c>
      <c r="L15" s="41">
        <v>504</v>
      </c>
      <c r="M15" s="41">
        <v>0</v>
      </c>
      <c r="N15" s="41">
        <f>SUM(Domésticas[[#This Row],[Janeiro]:[Dezembro]])</f>
        <v>6366.38</v>
      </c>
      <c r="O15" s="42"/>
    </row>
    <row r="16" spans="1:15" ht="21" customHeight="1" thickBot="1" x14ac:dyDescent="0.35">
      <c r="A16" s="32" t="s">
        <v>1</v>
      </c>
      <c r="B16" s="43">
        <f>SUBTOTAL(109,Domésticas[Janeiro])</f>
        <v>2106.87</v>
      </c>
      <c r="C16" s="43">
        <f>SUBTOTAL(109,Domésticas[Fevereiro])</f>
        <v>2058.25</v>
      </c>
      <c r="D16" s="43">
        <f>SUBTOTAL(109,Domésticas[Março])</f>
        <v>2267.2200000000003</v>
      </c>
      <c r="E16" s="43">
        <f>SUBTOTAL(109,Domésticas[Abr])</f>
        <v>2261.9499999999998</v>
      </c>
      <c r="F16" s="43">
        <f>SUBTOTAL(109,Domésticas[Mai])</f>
        <v>2103.2199999999998</v>
      </c>
      <c r="G16" s="43">
        <f>SUBTOTAL(109,Domésticas[Jun])</f>
        <v>2169.34</v>
      </c>
      <c r="H16" s="43">
        <f>SUBTOTAL(109,Domésticas[Julho])</f>
        <v>2157.2399999999998</v>
      </c>
      <c r="I16" s="43">
        <f>SUBTOTAL(109,Domésticas[Agosto])</f>
        <v>2614.12</v>
      </c>
      <c r="J16" s="43">
        <f>SUBTOTAL(109,Domésticas[Setembro])</f>
        <v>2254.3799999999997</v>
      </c>
      <c r="K16" s="43">
        <f>SUBTOTAL(109,Domésticas[Outubro])</f>
        <v>2274.54</v>
      </c>
      <c r="L16" s="43">
        <f>SUBTOTAL(109,Domésticas[Novembro])</f>
        <v>1901</v>
      </c>
      <c r="M16" s="43">
        <f>SUBTOTAL(109,Domésticas[Dezembro])</f>
        <v>0</v>
      </c>
      <c r="N16" s="43">
        <f>SUBTOTAL(109,Domésticas[Ano])</f>
        <v>24168.13</v>
      </c>
      <c r="O16" s="33"/>
    </row>
    <row r="17" spans="1:15" ht="24" customHeight="1" thickTop="1" x14ac:dyDescent="0.3"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5" ht="16" customHeight="1" x14ac:dyDescent="0.3">
      <c r="A18" s="20" t="s">
        <v>4</v>
      </c>
      <c r="B18" s="28" t="s">
        <v>28</v>
      </c>
      <c r="C18" s="25" t="s">
        <v>30</v>
      </c>
      <c r="D18" s="28" t="s">
        <v>32</v>
      </c>
      <c r="E18" s="25" t="s">
        <v>34</v>
      </c>
      <c r="F18" s="28" t="s">
        <v>37</v>
      </c>
      <c r="G18" s="25" t="s">
        <v>39</v>
      </c>
      <c r="H18" s="28" t="s">
        <v>41</v>
      </c>
      <c r="I18" s="25" t="s">
        <v>43</v>
      </c>
      <c r="J18" s="28" t="s">
        <v>45</v>
      </c>
      <c r="K18" s="25" t="s">
        <v>47</v>
      </c>
      <c r="L18" s="28" t="s">
        <v>49</v>
      </c>
      <c r="M18" s="25" t="s">
        <v>51</v>
      </c>
      <c r="N18" s="28" t="s">
        <v>53</v>
      </c>
      <c r="O18" s="25" t="s">
        <v>54</v>
      </c>
    </row>
    <row r="19" spans="1:15" ht="16" customHeight="1" x14ac:dyDescent="0.3">
      <c r="A19" s="10" t="s">
        <v>78</v>
      </c>
      <c r="B19" s="61">
        <v>854.44</v>
      </c>
      <c r="C19" s="62">
        <v>1136.1599999999999</v>
      </c>
      <c r="D19" s="61">
        <v>1501.8</v>
      </c>
      <c r="E19" s="62">
        <v>1061.75</v>
      </c>
      <c r="F19" s="61">
        <v>1353.2199999999998</v>
      </c>
      <c r="G19" s="62">
        <v>1677.38</v>
      </c>
      <c r="H19" s="61">
        <v>871.60000000000014</v>
      </c>
      <c r="I19" s="62">
        <v>806.79</v>
      </c>
      <c r="J19" s="61">
        <v>1022.19</v>
      </c>
      <c r="K19" s="62">
        <v>1275.27</v>
      </c>
      <c r="L19" s="44">
        <v>0</v>
      </c>
      <c r="M19" s="45">
        <v>0</v>
      </c>
      <c r="N19" s="44">
        <f>SUM(Diárias[[#This Row],[Janeiro]:[Dezembro]])</f>
        <v>11560.6</v>
      </c>
      <c r="O19" s="46"/>
    </row>
    <row r="20" spans="1:15" ht="16" customHeight="1" x14ac:dyDescent="0.3">
      <c r="A20" s="10" t="s">
        <v>79</v>
      </c>
      <c r="B20" s="61">
        <v>0</v>
      </c>
      <c r="C20" s="62">
        <v>0</v>
      </c>
      <c r="D20" s="61">
        <v>0</v>
      </c>
      <c r="E20" s="62">
        <v>0</v>
      </c>
      <c r="F20" s="61">
        <v>0</v>
      </c>
      <c r="G20" s="62">
        <v>0</v>
      </c>
      <c r="H20" s="61">
        <v>96.2</v>
      </c>
      <c r="I20" s="62">
        <v>39.15</v>
      </c>
      <c r="J20" s="61">
        <v>0</v>
      </c>
      <c r="K20" s="62">
        <v>0</v>
      </c>
      <c r="L20" s="61">
        <v>0</v>
      </c>
      <c r="M20" s="62">
        <v>0</v>
      </c>
      <c r="N20" s="44">
        <f>SUM(Diárias[[#This Row],[Janeiro]:[Dezembro]])</f>
        <v>135.35</v>
      </c>
      <c r="O20" s="45"/>
    </row>
    <row r="21" spans="1:15" ht="16" customHeight="1" x14ac:dyDescent="0.3">
      <c r="A21" s="10" t="s">
        <v>72</v>
      </c>
      <c r="B21" s="61">
        <v>284.39999999999998</v>
      </c>
      <c r="C21" s="62">
        <v>229.88</v>
      </c>
      <c r="D21" s="61">
        <v>220.5</v>
      </c>
      <c r="E21" s="62">
        <v>249.8</v>
      </c>
      <c r="F21" s="61">
        <v>614</v>
      </c>
      <c r="G21" s="62">
        <v>297.27999999999997</v>
      </c>
      <c r="H21" s="61">
        <v>204.70000000000002</v>
      </c>
      <c r="I21" s="62">
        <v>98.800000000000011</v>
      </c>
      <c r="J21" s="61">
        <v>197.7</v>
      </c>
      <c r="K21" s="62">
        <v>255.8</v>
      </c>
      <c r="L21" s="61">
        <v>0</v>
      </c>
      <c r="M21" s="62">
        <v>0</v>
      </c>
      <c r="N21" s="44">
        <f>SUM(Diárias[[#This Row],[Janeiro]:[Dezembro]])</f>
        <v>2652.86</v>
      </c>
      <c r="O21" s="46"/>
    </row>
    <row r="22" spans="1:15" ht="21" customHeight="1" thickBot="1" x14ac:dyDescent="0.35">
      <c r="A22" s="34" t="s">
        <v>1</v>
      </c>
      <c r="B22" s="47">
        <f>SUBTOTAL(109,Diárias[Janeiro])</f>
        <v>1138.8400000000001</v>
      </c>
      <c r="C22" s="48">
        <f>SUBTOTAL(109,Diárias[Fevereiro])</f>
        <v>1366.04</v>
      </c>
      <c r="D22" s="47">
        <f>SUBTOTAL(109,Diárias[Março])</f>
        <v>1722.3</v>
      </c>
      <c r="E22" s="48">
        <f>SUBTOTAL(109,Diárias[Abr])</f>
        <v>1311.55</v>
      </c>
      <c r="F22" s="47">
        <f>SUBTOTAL(109,Diárias[Mai])</f>
        <v>1967.2199999999998</v>
      </c>
      <c r="G22" s="48">
        <f>SUBTOTAL(109,Diárias[Jun])</f>
        <v>1974.66</v>
      </c>
      <c r="H22" s="47">
        <f>SUBTOTAL(109,Diárias[Julho])</f>
        <v>1172.5000000000002</v>
      </c>
      <c r="I22" s="48">
        <f>SUBTOTAL(109,Diárias[Agosto])</f>
        <v>944.74</v>
      </c>
      <c r="J22" s="47">
        <f>SUBTOTAL(109,Diárias[Setembro])</f>
        <v>1219.8900000000001</v>
      </c>
      <c r="K22" s="48">
        <f>SUBTOTAL(109,Diárias[Outubro])</f>
        <v>1531.07</v>
      </c>
      <c r="L22" s="47">
        <f>SUBTOTAL(109,Diárias[Novembro])</f>
        <v>0</v>
      </c>
      <c r="M22" s="48">
        <f>SUBTOTAL(109,Diárias[Dezembro])</f>
        <v>0</v>
      </c>
      <c r="N22" s="47">
        <f>SUBTOTAL(109,Diárias[Ano])</f>
        <v>14348.810000000001</v>
      </c>
      <c r="O22" s="35"/>
    </row>
    <row r="23" spans="1:15" ht="20.149999999999999" customHeight="1" thickTop="1" x14ac:dyDescent="0.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</row>
    <row r="24" spans="1:15" ht="16" customHeight="1" x14ac:dyDescent="0.3">
      <c r="A24" s="9" t="s">
        <v>5</v>
      </c>
      <c r="B24" s="31" t="s">
        <v>28</v>
      </c>
      <c r="C24" s="25" t="s">
        <v>30</v>
      </c>
      <c r="D24" s="31" t="s">
        <v>32</v>
      </c>
      <c r="E24" s="25" t="s">
        <v>34</v>
      </c>
      <c r="F24" s="31" t="s">
        <v>37</v>
      </c>
      <c r="G24" s="25" t="s">
        <v>39</v>
      </c>
      <c r="H24" s="31" t="s">
        <v>41</v>
      </c>
      <c r="I24" s="25" t="s">
        <v>43</v>
      </c>
      <c r="J24" s="31" t="s">
        <v>45</v>
      </c>
      <c r="K24" s="25" t="s">
        <v>47</v>
      </c>
      <c r="L24" s="31" t="s">
        <v>49</v>
      </c>
      <c r="M24" s="25" t="s">
        <v>51</v>
      </c>
      <c r="N24" s="31" t="s">
        <v>53</v>
      </c>
      <c r="O24" s="25" t="s">
        <v>54</v>
      </c>
    </row>
    <row r="25" spans="1:15" ht="16" customHeight="1" x14ac:dyDescent="0.3">
      <c r="A25" s="2" t="s">
        <v>60</v>
      </c>
      <c r="B25" s="44">
        <v>679.65</v>
      </c>
      <c r="C25" s="49">
        <v>514.61</v>
      </c>
      <c r="D25" s="44">
        <v>587.30999999999995</v>
      </c>
      <c r="E25" s="49">
        <v>601.34</v>
      </c>
      <c r="F25" s="44">
        <v>486.87</v>
      </c>
      <c r="G25" s="49">
        <v>472.78</v>
      </c>
      <c r="H25" s="44">
        <v>793.67</v>
      </c>
      <c r="I25" s="49">
        <v>477.12</v>
      </c>
      <c r="J25" s="44">
        <v>591.80999999999995</v>
      </c>
      <c r="K25" s="49">
        <v>648.78</v>
      </c>
      <c r="L25" s="44">
        <v>729.13</v>
      </c>
      <c r="M25" s="49">
        <v>0</v>
      </c>
      <c r="N25" s="44">
        <f>SUM(Transporte[[#This Row],[Janeiro]:[Dezembro]])</f>
        <v>6583.07</v>
      </c>
      <c r="O25" s="46"/>
    </row>
    <row r="26" spans="1:15" ht="16" customHeight="1" x14ac:dyDescent="0.3">
      <c r="A26" s="2" t="s">
        <v>23</v>
      </c>
      <c r="B26" s="44">
        <v>0</v>
      </c>
      <c r="C26" s="49">
        <v>0</v>
      </c>
      <c r="D26" s="44">
        <v>0</v>
      </c>
      <c r="E26" s="49">
        <v>0</v>
      </c>
      <c r="F26" s="44">
        <v>0</v>
      </c>
      <c r="G26" s="49">
        <v>0</v>
      </c>
      <c r="H26" s="44">
        <v>0</v>
      </c>
      <c r="I26" s="49">
        <v>0</v>
      </c>
      <c r="J26" s="44">
        <v>0</v>
      </c>
      <c r="K26" s="49">
        <v>0</v>
      </c>
      <c r="L26" s="44">
        <v>0</v>
      </c>
      <c r="M26" s="49">
        <v>0</v>
      </c>
      <c r="N26" s="44">
        <f>SUM(Transporte[[#This Row],[Janeiro]:[Dezembro]])</f>
        <v>0</v>
      </c>
      <c r="O26" s="49"/>
    </row>
    <row r="27" spans="1:15" ht="21" customHeight="1" thickBot="1" x14ac:dyDescent="0.35">
      <c r="A27" s="34" t="s">
        <v>1</v>
      </c>
      <c r="B27" s="47">
        <f>SUBTOTAL(109,Transporte[Janeiro])</f>
        <v>679.65</v>
      </c>
      <c r="C27" s="48">
        <f>SUBTOTAL(109,Transporte[Fevereiro])</f>
        <v>514.61</v>
      </c>
      <c r="D27" s="47">
        <f>SUBTOTAL(109,Transporte[Março])</f>
        <v>587.30999999999995</v>
      </c>
      <c r="E27" s="48">
        <f>SUBTOTAL(109,Transporte[Abr])</f>
        <v>601.34</v>
      </c>
      <c r="F27" s="47">
        <f>SUBTOTAL(109,Transporte[Mai])</f>
        <v>486.87</v>
      </c>
      <c r="G27" s="48">
        <f>SUBTOTAL(109,Transporte[Jun])</f>
        <v>472.78</v>
      </c>
      <c r="H27" s="47">
        <f>SUBTOTAL(109,Transporte[Julho])</f>
        <v>793.67</v>
      </c>
      <c r="I27" s="48">
        <f>SUBTOTAL(109,Transporte[Agosto])</f>
        <v>477.12</v>
      </c>
      <c r="J27" s="47">
        <f>SUBTOTAL(109,Transporte[Setembro])</f>
        <v>591.80999999999995</v>
      </c>
      <c r="K27" s="48">
        <f>SUBTOTAL(109,Transporte[Outubro])</f>
        <v>648.78</v>
      </c>
      <c r="L27" s="47">
        <f>SUBTOTAL(109,Transporte[Novembro])</f>
        <v>729.13</v>
      </c>
      <c r="M27" s="48">
        <f>SUBTOTAL(109,Transporte[Dezembro])</f>
        <v>0</v>
      </c>
      <c r="N27" s="47">
        <f>SUBTOTAL(109,Transporte[Ano])</f>
        <v>6583.07</v>
      </c>
      <c r="O27" s="35"/>
    </row>
    <row r="28" spans="1:15" ht="20.149999999999999" customHeight="1" thickTop="1" x14ac:dyDescent="0.3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</row>
    <row r="29" spans="1:15" ht="21" customHeight="1" x14ac:dyDescent="0.3">
      <c r="A29" s="12" t="s">
        <v>6</v>
      </c>
      <c r="B29" s="30" t="s">
        <v>28</v>
      </c>
      <c r="C29" s="25" t="s">
        <v>30</v>
      </c>
      <c r="D29" s="30" t="s">
        <v>32</v>
      </c>
      <c r="E29" s="25" t="s">
        <v>34</v>
      </c>
      <c r="F29" s="30" t="s">
        <v>37</v>
      </c>
      <c r="G29" s="25" t="s">
        <v>39</v>
      </c>
      <c r="H29" s="30" t="s">
        <v>41</v>
      </c>
      <c r="I29" s="25" t="s">
        <v>43</v>
      </c>
      <c r="J29" s="30" t="s">
        <v>45</v>
      </c>
      <c r="K29" s="25" t="s">
        <v>47</v>
      </c>
      <c r="L29" s="30" t="s">
        <v>49</v>
      </c>
      <c r="M29" s="25" t="s">
        <v>51</v>
      </c>
      <c r="N29" s="30" t="s">
        <v>53</v>
      </c>
      <c r="O29" s="25" t="s">
        <v>54</v>
      </c>
    </row>
    <row r="30" spans="1:15" ht="16" customHeight="1" x14ac:dyDescent="0.3">
      <c r="A30" s="2" t="s">
        <v>7</v>
      </c>
      <c r="B30" s="50">
        <v>0</v>
      </c>
      <c r="C30" s="49">
        <v>0</v>
      </c>
      <c r="D30" s="50">
        <v>139.29</v>
      </c>
      <c r="E30" s="49">
        <v>127.46</v>
      </c>
      <c r="F30" s="50">
        <v>227.5</v>
      </c>
      <c r="G30" s="49">
        <v>337.2</v>
      </c>
      <c r="H30" s="50">
        <v>285</v>
      </c>
      <c r="I30" s="49">
        <v>305</v>
      </c>
      <c r="J30" s="50">
        <v>0</v>
      </c>
      <c r="K30" s="49">
        <v>123.8</v>
      </c>
      <c r="L30" s="50">
        <v>208.4</v>
      </c>
      <c r="M30" s="49">
        <v>0</v>
      </c>
      <c r="N30" s="50">
        <f>SUM(Entretenimento[[#This Row],[Janeiro]:[Dezembro]])</f>
        <v>1753.65</v>
      </c>
      <c r="O30" s="46"/>
    </row>
    <row r="31" spans="1:15" ht="16" customHeight="1" x14ac:dyDescent="0.3">
      <c r="A31" s="2" t="s">
        <v>8</v>
      </c>
      <c r="B31" s="50">
        <v>0</v>
      </c>
      <c r="C31" s="49">
        <v>0</v>
      </c>
      <c r="D31" s="50">
        <v>0</v>
      </c>
      <c r="E31" s="49">
        <v>0</v>
      </c>
      <c r="F31" s="50">
        <v>0</v>
      </c>
      <c r="G31" s="49">
        <v>0</v>
      </c>
      <c r="H31" s="50">
        <v>0</v>
      </c>
      <c r="I31" s="49">
        <v>0</v>
      </c>
      <c r="J31" s="50">
        <v>0</v>
      </c>
      <c r="K31" s="49">
        <v>0</v>
      </c>
      <c r="L31" s="50">
        <v>0</v>
      </c>
      <c r="M31" s="49">
        <v>0</v>
      </c>
      <c r="N31" s="50">
        <f>SUM(Entretenimento[[#This Row],[Janeiro]:[Dezembro]])</f>
        <v>0</v>
      </c>
      <c r="O31" s="49"/>
    </row>
    <row r="32" spans="1:15" ht="16" customHeight="1" x14ac:dyDescent="0.3">
      <c r="A32" s="2" t="s">
        <v>75</v>
      </c>
      <c r="B32" s="50">
        <v>0</v>
      </c>
      <c r="C32" s="49">
        <v>0</v>
      </c>
      <c r="D32" s="50">
        <v>0</v>
      </c>
      <c r="E32" s="49">
        <v>0</v>
      </c>
      <c r="F32" s="50">
        <v>0</v>
      </c>
      <c r="G32" s="49">
        <v>0</v>
      </c>
      <c r="H32" s="50">
        <v>0</v>
      </c>
      <c r="I32" s="49">
        <v>0</v>
      </c>
      <c r="J32" s="50">
        <v>0</v>
      </c>
      <c r="K32" s="49">
        <v>0</v>
      </c>
      <c r="L32" s="50">
        <v>0</v>
      </c>
      <c r="M32" s="49">
        <v>0</v>
      </c>
      <c r="N32" s="50">
        <f>SUM(Entretenimento[[#This Row],[Janeiro]:[Dezembro]])</f>
        <v>0</v>
      </c>
      <c r="O32" s="46"/>
    </row>
    <row r="33" spans="1:15" ht="20.149999999999999" customHeight="1" thickBot="1" x14ac:dyDescent="0.35">
      <c r="A33" s="36" t="s">
        <v>1</v>
      </c>
      <c r="B33" s="51">
        <f>SUBTOTAL(109,Entretenimento[Janeiro])</f>
        <v>0</v>
      </c>
      <c r="C33" s="48">
        <f>SUBTOTAL(109,Entretenimento[Fevereiro])</f>
        <v>0</v>
      </c>
      <c r="D33" s="51">
        <f>SUBTOTAL(109,Entretenimento[Março])</f>
        <v>139.29</v>
      </c>
      <c r="E33" s="48">
        <f>SUBTOTAL(109,Entretenimento[Abr])</f>
        <v>127.46</v>
      </c>
      <c r="F33" s="51">
        <f>SUBTOTAL(109,Entretenimento[Mai])</f>
        <v>227.5</v>
      </c>
      <c r="G33" s="48">
        <f>SUBTOTAL(109,Entretenimento[Jun])</f>
        <v>337.2</v>
      </c>
      <c r="H33" s="51">
        <f>SUBTOTAL(109,Entretenimento[Julho])</f>
        <v>285</v>
      </c>
      <c r="I33" s="48">
        <f>SUBTOTAL(109,Entretenimento[Agosto])</f>
        <v>305</v>
      </c>
      <c r="J33" s="51">
        <f>SUBTOTAL(109,Entretenimento[Setembro])</f>
        <v>0</v>
      </c>
      <c r="K33" s="48">
        <f>SUBTOTAL(109,Entretenimento[Outubro])</f>
        <v>123.8</v>
      </c>
      <c r="L33" s="51">
        <f>SUBTOTAL(109,Entretenimento[Novembro])</f>
        <v>208.4</v>
      </c>
      <c r="M33" s="48">
        <f>SUBTOTAL(109,Entretenimento[Dezembro])</f>
        <v>0</v>
      </c>
      <c r="N33" s="51">
        <f>SUBTOTAL(109,Entretenimento[Ano])</f>
        <v>1753.65</v>
      </c>
      <c r="O33" s="35"/>
    </row>
    <row r="34" spans="1:15" ht="21" customHeight="1" thickTop="1" x14ac:dyDescent="0.3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</row>
    <row r="35" spans="1:15" ht="16" customHeight="1" x14ac:dyDescent="0.3">
      <c r="A35" s="12" t="s">
        <v>9</v>
      </c>
      <c r="B35" s="30" t="s">
        <v>28</v>
      </c>
      <c r="C35" s="25" t="s">
        <v>30</v>
      </c>
      <c r="D35" s="30" t="s">
        <v>32</v>
      </c>
      <c r="E35" s="25" t="s">
        <v>34</v>
      </c>
      <c r="F35" s="30" t="s">
        <v>37</v>
      </c>
      <c r="G35" s="25" t="s">
        <v>39</v>
      </c>
      <c r="H35" s="30" t="s">
        <v>41</v>
      </c>
      <c r="I35" s="25" t="s">
        <v>43</v>
      </c>
      <c r="J35" s="30" t="s">
        <v>45</v>
      </c>
      <c r="K35" s="25" t="s">
        <v>47</v>
      </c>
      <c r="L35" s="30" t="s">
        <v>49</v>
      </c>
      <c r="M35" s="25" t="s">
        <v>51</v>
      </c>
      <c r="N35" s="30" t="s">
        <v>53</v>
      </c>
      <c r="O35" s="25" t="s">
        <v>54</v>
      </c>
    </row>
    <row r="36" spans="1:15" ht="16" customHeight="1" x14ac:dyDescent="0.3">
      <c r="A36" s="2" t="s">
        <v>74</v>
      </c>
      <c r="B36" s="50">
        <v>0</v>
      </c>
      <c r="C36" s="49">
        <v>0</v>
      </c>
      <c r="D36" s="50">
        <v>0</v>
      </c>
      <c r="E36" s="49">
        <v>0</v>
      </c>
      <c r="F36" s="50">
        <v>185.08</v>
      </c>
      <c r="G36" s="49">
        <v>0</v>
      </c>
      <c r="H36" s="50">
        <v>110.38</v>
      </c>
      <c r="I36" s="49">
        <v>89.98</v>
      </c>
      <c r="J36" s="50">
        <v>33.58</v>
      </c>
      <c r="K36" s="49">
        <v>62.67</v>
      </c>
      <c r="L36" s="50">
        <v>0</v>
      </c>
      <c r="M36" s="49">
        <v>0</v>
      </c>
      <c r="N36" s="50">
        <f>SUM(Saúde[[#This Row],[Janeiro]:[Dezembro]])</f>
        <v>481.69000000000005</v>
      </c>
      <c r="O36" s="49"/>
    </row>
    <row r="37" spans="1:15" ht="21" customHeight="1" x14ac:dyDescent="0.3">
      <c r="A37" s="2" t="s">
        <v>23</v>
      </c>
      <c r="B37" s="50">
        <v>0</v>
      </c>
      <c r="C37" s="49">
        <v>0</v>
      </c>
      <c r="D37" s="50">
        <v>0</v>
      </c>
      <c r="E37" s="49">
        <v>0</v>
      </c>
      <c r="F37" s="50">
        <v>0</v>
      </c>
      <c r="G37" s="49">
        <v>0</v>
      </c>
      <c r="H37" s="50">
        <v>0</v>
      </c>
      <c r="I37" s="49">
        <v>0</v>
      </c>
      <c r="J37" s="50">
        <v>0</v>
      </c>
      <c r="K37" s="49">
        <v>0</v>
      </c>
      <c r="L37" s="50">
        <v>0</v>
      </c>
      <c r="M37" s="49">
        <v>0</v>
      </c>
      <c r="N37" s="50">
        <f>SUM(Saúde[[#This Row],[Janeiro]:[Dezembro]])</f>
        <v>0</v>
      </c>
      <c r="O37" s="49"/>
    </row>
    <row r="38" spans="1:15" ht="20.149999999999999" customHeight="1" thickBot="1" x14ac:dyDescent="0.35">
      <c r="A38" s="36" t="s">
        <v>1</v>
      </c>
      <c r="B38" s="51">
        <f>SUBTOTAL(109,Saúde[Janeiro])</f>
        <v>0</v>
      </c>
      <c r="C38" s="48">
        <f>SUBTOTAL(109,Saúde[Fevereiro])</f>
        <v>0</v>
      </c>
      <c r="D38" s="51">
        <f>SUBTOTAL(109,Saúde[Março])</f>
        <v>0</v>
      </c>
      <c r="E38" s="48">
        <f>SUBTOTAL(109,Saúde[Abr])</f>
        <v>0</v>
      </c>
      <c r="F38" s="51">
        <f>SUBTOTAL(109,Saúde[Mai])</f>
        <v>185.08</v>
      </c>
      <c r="G38" s="48">
        <f>SUBTOTAL(109,Saúde[Jun])</f>
        <v>0</v>
      </c>
      <c r="H38" s="51">
        <f>SUBTOTAL(109,Saúde[Julho])</f>
        <v>110.38</v>
      </c>
      <c r="I38" s="48">
        <f>SUBTOTAL(109,Saúde[Agosto])</f>
        <v>89.98</v>
      </c>
      <c r="J38" s="51">
        <f>SUBTOTAL(109,Saúde[Setembro])</f>
        <v>33.58</v>
      </c>
      <c r="K38" s="48">
        <f>SUBTOTAL(109,Saúde[Outubro])</f>
        <v>62.67</v>
      </c>
      <c r="L38" s="51">
        <f>SUBTOTAL(109,Saúde[Novembro])</f>
        <v>0</v>
      </c>
      <c r="M38" s="48">
        <f>SUBTOTAL(109,Saúde[Dezembro])</f>
        <v>0</v>
      </c>
      <c r="N38" s="51">
        <f>SUBTOTAL(109,Saúde[Ano])</f>
        <v>481.69000000000005</v>
      </c>
      <c r="O38" s="35"/>
    </row>
    <row r="39" spans="1:15" ht="21" customHeight="1" thickTop="1" x14ac:dyDescent="0.3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1:15" ht="16" customHeight="1" x14ac:dyDescent="0.3">
      <c r="A40" s="9" t="s">
        <v>10</v>
      </c>
      <c r="B40" s="29" t="s">
        <v>28</v>
      </c>
      <c r="C40" s="25" t="s">
        <v>30</v>
      </c>
      <c r="D40" s="29" t="s">
        <v>32</v>
      </c>
      <c r="E40" s="25" t="s">
        <v>34</v>
      </c>
      <c r="F40" s="29" t="s">
        <v>37</v>
      </c>
      <c r="G40" s="25" t="s">
        <v>39</v>
      </c>
      <c r="H40" s="29" t="s">
        <v>41</v>
      </c>
      <c r="I40" s="25" t="s">
        <v>43</v>
      </c>
      <c r="J40" s="29" t="s">
        <v>45</v>
      </c>
      <c r="K40" s="25" t="s">
        <v>47</v>
      </c>
      <c r="L40" s="29" t="s">
        <v>49</v>
      </c>
      <c r="M40" s="25" t="s">
        <v>51</v>
      </c>
      <c r="N40" s="29" t="s">
        <v>53</v>
      </c>
      <c r="O40" s="25" t="s">
        <v>54</v>
      </c>
    </row>
    <row r="41" spans="1:15" ht="16" customHeight="1" x14ac:dyDescent="0.3">
      <c r="A41" s="2" t="s">
        <v>61</v>
      </c>
      <c r="B41" s="44">
        <v>0</v>
      </c>
      <c r="C41" s="49">
        <v>0</v>
      </c>
      <c r="D41" s="44">
        <v>0</v>
      </c>
      <c r="E41" s="49">
        <v>0</v>
      </c>
      <c r="F41" s="44">
        <v>0</v>
      </c>
      <c r="G41" s="49">
        <v>0</v>
      </c>
      <c r="H41" s="44">
        <v>0</v>
      </c>
      <c r="I41" s="49">
        <v>0</v>
      </c>
      <c r="J41" s="44">
        <v>0</v>
      </c>
      <c r="K41" s="49">
        <v>0</v>
      </c>
      <c r="L41" s="44">
        <v>0</v>
      </c>
      <c r="M41" s="49">
        <v>0</v>
      </c>
      <c r="N41" s="44">
        <f>SUM(Férias[[#This Row],[Janeiro]:[Dezembro]])</f>
        <v>0</v>
      </c>
      <c r="O41" s="46"/>
    </row>
    <row r="42" spans="1:15" ht="16" customHeight="1" x14ac:dyDescent="0.3">
      <c r="A42" s="22" t="s">
        <v>11</v>
      </c>
      <c r="B42" s="44">
        <v>0</v>
      </c>
      <c r="C42" s="49">
        <v>0</v>
      </c>
      <c r="D42" s="44">
        <v>0</v>
      </c>
      <c r="E42" s="49">
        <v>0</v>
      </c>
      <c r="F42" s="44">
        <v>0</v>
      </c>
      <c r="G42" s="49">
        <v>0</v>
      </c>
      <c r="H42" s="44">
        <v>0</v>
      </c>
      <c r="I42" s="49">
        <v>0</v>
      </c>
      <c r="J42" s="44">
        <v>0</v>
      </c>
      <c r="K42" s="49">
        <v>0</v>
      </c>
      <c r="L42" s="44">
        <v>0</v>
      </c>
      <c r="M42" s="49">
        <v>0</v>
      </c>
      <c r="N42" s="44">
        <f>SUM(Férias[[#This Row],[Janeiro]:[Dezembro]])</f>
        <v>0</v>
      </c>
      <c r="O42" s="49"/>
    </row>
    <row r="43" spans="1:15" ht="16" customHeight="1" x14ac:dyDescent="0.3">
      <c r="A43" s="22" t="s">
        <v>12</v>
      </c>
      <c r="B43" s="44">
        <v>0</v>
      </c>
      <c r="C43" s="49">
        <v>0</v>
      </c>
      <c r="D43" s="44">
        <v>0</v>
      </c>
      <c r="E43" s="49">
        <v>0</v>
      </c>
      <c r="F43" s="44">
        <v>0</v>
      </c>
      <c r="G43" s="49">
        <v>0</v>
      </c>
      <c r="H43" s="44">
        <v>0</v>
      </c>
      <c r="I43" s="49">
        <v>0</v>
      </c>
      <c r="J43" s="44">
        <v>0</v>
      </c>
      <c r="K43" s="49">
        <v>0</v>
      </c>
      <c r="L43" s="44">
        <v>0</v>
      </c>
      <c r="M43" s="49">
        <v>0</v>
      </c>
      <c r="N43" s="44">
        <f>SUM(Férias[[#This Row],[Janeiro]:[Dezembro]])</f>
        <v>0</v>
      </c>
      <c r="O43" s="46"/>
    </row>
    <row r="44" spans="1:15" ht="16" customHeight="1" x14ac:dyDescent="0.3">
      <c r="A44" s="2" t="s">
        <v>13</v>
      </c>
      <c r="B44" s="44">
        <v>0</v>
      </c>
      <c r="C44" s="49">
        <v>0</v>
      </c>
      <c r="D44" s="44">
        <v>0</v>
      </c>
      <c r="E44" s="49">
        <v>0</v>
      </c>
      <c r="F44" s="44">
        <v>0</v>
      </c>
      <c r="G44" s="49">
        <v>0</v>
      </c>
      <c r="H44" s="44">
        <v>0</v>
      </c>
      <c r="I44" s="49">
        <v>0</v>
      </c>
      <c r="J44" s="44">
        <v>0</v>
      </c>
      <c r="K44" s="49">
        <v>0</v>
      </c>
      <c r="L44" s="44">
        <v>0</v>
      </c>
      <c r="M44" s="49">
        <v>0</v>
      </c>
      <c r="N44" s="44">
        <f>SUM(Férias[[#This Row],[Janeiro]:[Dezembro]])</f>
        <v>0</v>
      </c>
      <c r="O44" s="49"/>
    </row>
    <row r="45" spans="1:15" ht="16" customHeight="1" x14ac:dyDescent="0.3">
      <c r="A45" s="2" t="s">
        <v>14</v>
      </c>
      <c r="B45" s="44">
        <v>0</v>
      </c>
      <c r="C45" s="49">
        <v>0</v>
      </c>
      <c r="D45" s="44">
        <v>0</v>
      </c>
      <c r="E45" s="49">
        <v>0</v>
      </c>
      <c r="F45" s="44">
        <v>0</v>
      </c>
      <c r="G45" s="49">
        <v>0</v>
      </c>
      <c r="H45" s="44">
        <v>0</v>
      </c>
      <c r="I45" s="49">
        <v>0</v>
      </c>
      <c r="J45" s="44">
        <v>0</v>
      </c>
      <c r="K45" s="49">
        <v>0</v>
      </c>
      <c r="L45" s="44">
        <v>0</v>
      </c>
      <c r="M45" s="49">
        <v>0</v>
      </c>
      <c r="N45" s="44">
        <f>SUM(Férias[[#This Row],[Janeiro]:[Dezembro]])</f>
        <v>0</v>
      </c>
      <c r="O45" s="46"/>
    </row>
    <row r="46" spans="1:15" ht="20.149999999999999" customHeight="1" thickBot="1" x14ac:dyDescent="0.35">
      <c r="A46" s="34" t="s">
        <v>1</v>
      </c>
      <c r="B46" s="47">
        <f>SUBTOTAL(109,Férias[Janeiro])</f>
        <v>0</v>
      </c>
      <c r="C46" s="48">
        <f>SUBTOTAL(109,Férias[Fevereiro])</f>
        <v>0</v>
      </c>
      <c r="D46" s="47">
        <f>SUBTOTAL(109,Férias[Março])</f>
        <v>0</v>
      </c>
      <c r="E46" s="48">
        <f>SUBTOTAL(109,Férias[Abr])</f>
        <v>0</v>
      </c>
      <c r="F46" s="47">
        <f>SUBTOTAL(109,Férias[Mai])</f>
        <v>0</v>
      </c>
      <c r="G46" s="48">
        <f>SUBTOTAL(109,Férias[Jun])</f>
        <v>0</v>
      </c>
      <c r="H46" s="47">
        <f>SUBTOTAL(109,Férias[Julho])</f>
        <v>0</v>
      </c>
      <c r="I46" s="48">
        <f>SUBTOTAL(109,Férias[Agosto])</f>
        <v>0</v>
      </c>
      <c r="J46" s="47">
        <f>SUBTOTAL(109,Férias[Setembro])</f>
        <v>0</v>
      </c>
      <c r="K46" s="48">
        <f>SUBTOTAL(109,Férias[Outubro])</f>
        <v>0</v>
      </c>
      <c r="L46" s="47">
        <f>SUBTOTAL(109,Férias[Novembro])</f>
        <v>0</v>
      </c>
      <c r="M46" s="48">
        <f>SUBTOTAL(109,Férias[Dezembro])</f>
        <v>0</v>
      </c>
      <c r="N46" s="47">
        <f>SUBTOTAL(109,Férias[Ano])</f>
        <v>0</v>
      </c>
      <c r="O46" s="35"/>
    </row>
    <row r="47" spans="1:15" ht="21" customHeight="1" thickTop="1" x14ac:dyDescent="0.3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1:15" ht="16" customHeight="1" x14ac:dyDescent="0.3">
      <c r="A48" s="11" t="s">
        <v>15</v>
      </c>
      <c r="B48" s="38" t="s">
        <v>28</v>
      </c>
      <c r="C48" s="59" t="s">
        <v>30</v>
      </c>
      <c r="D48" s="38" t="s">
        <v>32</v>
      </c>
      <c r="E48" s="26" t="s">
        <v>34</v>
      </c>
      <c r="F48" s="38" t="s">
        <v>37</v>
      </c>
      <c r="G48" s="26" t="s">
        <v>39</v>
      </c>
      <c r="H48" s="38" t="s">
        <v>41</v>
      </c>
      <c r="I48" s="26" t="s">
        <v>43</v>
      </c>
      <c r="J48" s="38" t="s">
        <v>45</v>
      </c>
      <c r="K48" s="26" t="s">
        <v>47</v>
      </c>
      <c r="L48" s="38" t="s">
        <v>49</v>
      </c>
      <c r="M48" s="26" t="s">
        <v>51</v>
      </c>
      <c r="N48" s="38" t="s">
        <v>53</v>
      </c>
      <c r="O48" s="26" t="s">
        <v>54</v>
      </c>
    </row>
    <row r="49" spans="1:15" ht="16" customHeight="1" x14ac:dyDescent="0.3">
      <c r="A49" s="2" t="s">
        <v>62</v>
      </c>
      <c r="B49" s="44">
        <v>0</v>
      </c>
      <c r="C49" s="45">
        <v>0</v>
      </c>
      <c r="D49" s="44">
        <v>0</v>
      </c>
      <c r="E49" s="49">
        <v>0</v>
      </c>
      <c r="F49" s="44">
        <v>0</v>
      </c>
      <c r="G49" s="49">
        <v>0</v>
      </c>
      <c r="H49" s="44">
        <v>0</v>
      </c>
      <c r="I49" s="49">
        <v>0</v>
      </c>
      <c r="J49" s="44">
        <v>0</v>
      </c>
      <c r="K49" s="49">
        <v>0</v>
      </c>
      <c r="L49" s="44">
        <v>0</v>
      </c>
      <c r="M49" s="49">
        <v>0</v>
      </c>
      <c r="N49" s="44">
        <f>SUM(Lazer[[#This Row],[Janeiro]:[Dezembro]])</f>
        <v>0</v>
      </c>
      <c r="O49" s="46"/>
    </row>
    <row r="50" spans="1:15" ht="16" customHeight="1" x14ac:dyDescent="0.3">
      <c r="A50" s="2" t="s">
        <v>70</v>
      </c>
      <c r="B50" s="44">
        <v>0</v>
      </c>
      <c r="C50" s="45">
        <v>0</v>
      </c>
      <c r="D50" s="44">
        <v>0</v>
      </c>
      <c r="E50" s="49">
        <v>0</v>
      </c>
      <c r="F50" s="44">
        <v>0</v>
      </c>
      <c r="G50" s="49">
        <v>0</v>
      </c>
      <c r="H50" s="44">
        <v>0</v>
      </c>
      <c r="I50" s="49">
        <v>0</v>
      </c>
      <c r="J50" s="44">
        <v>0</v>
      </c>
      <c r="K50" s="49">
        <v>0</v>
      </c>
      <c r="L50" s="44">
        <v>0</v>
      </c>
      <c r="M50" s="49">
        <v>0</v>
      </c>
      <c r="N50" s="44">
        <f>SUM(Lazer[[#This Row],[Janeiro]:[Dezembro]])</f>
        <v>0</v>
      </c>
      <c r="O50" s="49"/>
    </row>
    <row r="51" spans="1:15" ht="16" customHeight="1" x14ac:dyDescent="0.3">
      <c r="A51" s="2" t="s">
        <v>76</v>
      </c>
      <c r="B51" s="44">
        <v>0</v>
      </c>
      <c r="C51" s="45">
        <v>0</v>
      </c>
      <c r="D51" s="44">
        <v>0</v>
      </c>
      <c r="E51" s="49">
        <v>0</v>
      </c>
      <c r="F51" s="44">
        <v>0</v>
      </c>
      <c r="G51" s="49">
        <v>0</v>
      </c>
      <c r="H51" s="44">
        <v>0</v>
      </c>
      <c r="I51" s="49">
        <v>0</v>
      </c>
      <c r="J51" s="44">
        <v>0</v>
      </c>
      <c r="K51" s="49">
        <v>0</v>
      </c>
      <c r="L51" s="44">
        <v>0</v>
      </c>
      <c r="M51" s="49">
        <v>0</v>
      </c>
      <c r="N51" s="44">
        <f>SUM(Lazer[[#This Row],[Janeiro]:[Dezembro]])</f>
        <v>0</v>
      </c>
      <c r="O51" s="46"/>
    </row>
    <row r="52" spans="1:15" ht="21" customHeight="1" x14ac:dyDescent="0.3">
      <c r="A52" s="2" t="s">
        <v>23</v>
      </c>
      <c r="B52" s="44">
        <v>0</v>
      </c>
      <c r="C52" s="45">
        <v>0</v>
      </c>
      <c r="D52" s="44">
        <v>0</v>
      </c>
      <c r="E52" s="49">
        <v>0</v>
      </c>
      <c r="F52" s="44">
        <v>0</v>
      </c>
      <c r="G52" s="49">
        <v>0</v>
      </c>
      <c r="H52" s="44">
        <v>0</v>
      </c>
      <c r="I52" s="49">
        <v>0</v>
      </c>
      <c r="J52" s="44">
        <v>0</v>
      </c>
      <c r="K52" s="49">
        <v>0</v>
      </c>
      <c r="L52" s="44">
        <v>0</v>
      </c>
      <c r="M52" s="49">
        <v>0</v>
      </c>
      <c r="N52" s="44">
        <f>SUM(Lazer[[#This Row],[Janeiro]:[Dezembro]])</f>
        <v>0</v>
      </c>
      <c r="O52" s="49"/>
    </row>
    <row r="53" spans="1:15" ht="20.149999999999999" customHeight="1" thickBot="1" x14ac:dyDescent="0.35">
      <c r="A53" s="34" t="s">
        <v>1</v>
      </c>
      <c r="B53" s="47">
        <f>SUBTOTAL(109,Lazer[Janeiro])</f>
        <v>0</v>
      </c>
      <c r="C53" s="48">
        <f>SUBTOTAL(109,Lazer[Fevereiro])</f>
        <v>0</v>
      </c>
      <c r="D53" s="47">
        <f>SUBTOTAL(109,Lazer[Março])</f>
        <v>0</v>
      </c>
      <c r="E53" s="48">
        <f>SUBTOTAL(109,Lazer[Abr])</f>
        <v>0</v>
      </c>
      <c r="F53" s="47">
        <f>SUBTOTAL(109,Lazer[Mai])</f>
        <v>0</v>
      </c>
      <c r="G53" s="48">
        <f>SUBTOTAL(109,Lazer[Jun])</f>
        <v>0</v>
      </c>
      <c r="H53" s="47">
        <f>SUBTOTAL(109,Lazer[Julho])</f>
        <v>0</v>
      </c>
      <c r="I53" s="48">
        <f>SUBTOTAL(109,Lazer[Agosto])</f>
        <v>0</v>
      </c>
      <c r="J53" s="47">
        <f>SUBTOTAL(109,Lazer[Setembro])</f>
        <v>0</v>
      </c>
      <c r="K53" s="48">
        <f>SUBTOTAL(109,Lazer[Outubro])</f>
        <v>0</v>
      </c>
      <c r="L53" s="47">
        <f>SUBTOTAL(109,Lazer[Novembro])</f>
        <v>0</v>
      </c>
      <c r="M53" s="48">
        <f>SUBTOTAL(109,Lazer[Dezembro])</f>
        <v>0</v>
      </c>
      <c r="N53" s="47">
        <f>SUBTOTAL(109,Lazer[Ano])</f>
        <v>0</v>
      </c>
      <c r="O53" s="35"/>
    </row>
    <row r="54" spans="1:15" ht="21" customHeight="1" thickTop="1" x14ac:dyDescent="0.3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1:15" ht="16" customHeight="1" x14ac:dyDescent="0.3">
      <c r="A55" s="13" t="s">
        <v>86</v>
      </c>
      <c r="B55" s="27" t="s">
        <v>28</v>
      </c>
      <c r="C55" s="26" t="s">
        <v>30</v>
      </c>
      <c r="D55" s="27" t="s">
        <v>32</v>
      </c>
      <c r="E55" s="26" t="s">
        <v>34</v>
      </c>
      <c r="F55" s="27" t="s">
        <v>37</v>
      </c>
      <c r="G55" s="26" t="s">
        <v>39</v>
      </c>
      <c r="H55" s="27" t="s">
        <v>41</v>
      </c>
      <c r="I55" s="26" t="s">
        <v>43</v>
      </c>
      <c r="J55" s="27" t="s">
        <v>45</v>
      </c>
      <c r="K55" s="26" t="s">
        <v>47</v>
      </c>
      <c r="L55" s="27" t="s">
        <v>49</v>
      </c>
      <c r="M55" s="26" t="s">
        <v>51</v>
      </c>
      <c r="N55" s="27" t="s">
        <v>53</v>
      </c>
      <c r="O55" s="26" t="s">
        <v>54</v>
      </c>
    </row>
    <row r="56" spans="1:15" ht="16" customHeight="1" x14ac:dyDescent="0.3">
      <c r="A56" s="21" t="s">
        <v>80</v>
      </c>
      <c r="B56" s="50">
        <v>653.6</v>
      </c>
      <c r="C56" s="49">
        <v>653.6</v>
      </c>
      <c r="D56" s="50">
        <v>653.6</v>
      </c>
      <c r="E56" s="49">
        <v>653.6</v>
      </c>
      <c r="F56" s="50">
        <v>653.6</v>
      </c>
      <c r="G56" s="49">
        <v>653.6</v>
      </c>
      <c r="H56" s="50">
        <v>653.6</v>
      </c>
      <c r="I56" s="49">
        <v>653.6</v>
      </c>
      <c r="J56" s="50">
        <v>653.6</v>
      </c>
      <c r="K56" s="49">
        <v>653.6</v>
      </c>
      <c r="L56" s="50">
        <v>0</v>
      </c>
      <c r="M56" s="49">
        <v>0</v>
      </c>
      <c r="N56" s="50">
        <f>SUM(MensalidadesEAssinaturas[[#This Row],[Janeiro]:[Dezembro]])</f>
        <v>6536.0000000000009</v>
      </c>
      <c r="O56" s="49"/>
    </row>
    <row r="57" spans="1:15" ht="16" customHeight="1" x14ac:dyDescent="0.3">
      <c r="A57" s="21" t="s">
        <v>63</v>
      </c>
      <c r="B57" s="50">
        <v>0</v>
      </c>
      <c r="C57" s="49">
        <v>0</v>
      </c>
      <c r="D57" s="50">
        <v>0</v>
      </c>
      <c r="E57" s="49">
        <v>0</v>
      </c>
      <c r="F57" s="50">
        <v>0</v>
      </c>
      <c r="G57" s="49">
        <v>0</v>
      </c>
      <c r="H57" s="50">
        <v>0</v>
      </c>
      <c r="I57" s="49">
        <v>0</v>
      </c>
      <c r="J57" s="50">
        <v>0</v>
      </c>
      <c r="K57" s="49">
        <v>0</v>
      </c>
      <c r="L57" s="50">
        <v>0</v>
      </c>
      <c r="M57" s="49">
        <v>0</v>
      </c>
      <c r="N57" s="50">
        <f>SUM(MensalidadesEAssinaturas[[#This Row],[Janeiro]:[Dezembro]])</f>
        <v>0</v>
      </c>
      <c r="O57" s="54"/>
    </row>
    <row r="58" spans="1:15" ht="16" customHeight="1" x14ac:dyDescent="0.3">
      <c r="A58" s="2" t="s">
        <v>81</v>
      </c>
      <c r="B58" s="50">
        <v>0</v>
      </c>
      <c r="C58" s="49">
        <v>0</v>
      </c>
      <c r="D58" s="50">
        <v>0</v>
      </c>
      <c r="E58" s="49">
        <v>0</v>
      </c>
      <c r="F58" s="50">
        <v>0</v>
      </c>
      <c r="G58" s="49">
        <v>0</v>
      </c>
      <c r="H58" s="50">
        <v>0</v>
      </c>
      <c r="I58" s="49">
        <v>0</v>
      </c>
      <c r="J58" s="50">
        <v>0</v>
      </c>
      <c r="K58" s="49">
        <v>0</v>
      </c>
      <c r="L58" s="50">
        <v>0</v>
      </c>
      <c r="M58" s="49">
        <v>0</v>
      </c>
      <c r="N58" s="50">
        <f>SUM(MensalidadesEAssinaturas[[#This Row],[Janeiro]:[Dezembro]])</f>
        <v>0</v>
      </c>
      <c r="O58" s="46"/>
    </row>
    <row r="59" spans="1:15" ht="16" customHeight="1" x14ac:dyDescent="0.3">
      <c r="A59" s="2" t="s">
        <v>64</v>
      </c>
      <c r="B59" s="50">
        <v>0</v>
      </c>
      <c r="C59" s="49">
        <v>0</v>
      </c>
      <c r="D59" s="50">
        <v>0</v>
      </c>
      <c r="E59" s="49">
        <v>0</v>
      </c>
      <c r="F59" s="50">
        <v>0</v>
      </c>
      <c r="G59" s="49">
        <v>0</v>
      </c>
      <c r="H59" s="50">
        <v>0</v>
      </c>
      <c r="I59" s="49">
        <v>0</v>
      </c>
      <c r="J59" s="50">
        <v>0</v>
      </c>
      <c r="K59" s="49">
        <v>0</v>
      </c>
      <c r="L59" s="50">
        <v>0</v>
      </c>
      <c r="M59" s="49">
        <v>0</v>
      </c>
      <c r="N59" s="50">
        <f>SUM(MensalidadesEAssinaturas[[#This Row],[Janeiro]:[Dezembro]])</f>
        <v>0</v>
      </c>
      <c r="O59" s="49"/>
    </row>
    <row r="60" spans="1:15" ht="16" customHeight="1" x14ac:dyDescent="0.3">
      <c r="A60" s="2" t="s">
        <v>65</v>
      </c>
      <c r="B60" s="50">
        <v>0</v>
      </c>
      <c r="C60" s="49">
        <v>0</v>
      </c>
      <c r="D60" s="50">
        <v>0</v>
      </c>
      <c r="E60" s="49">
        <v>0</v>
      </c>
      <c r="F60" s="50">
        <v>0</v>
      </c>
      <c r="G60" s="49">
        <v>0</v>
      </c>
      <c r="H60" s="50">
        <v>0</v>
      </c>
      <c r="I60" s="49">
        <v>0</v>
      </c>
      <c r="J60" s="50">
        <v>0</v>
      </c>
      <c r="K60" s="49">
        <v>0</v>
      </c>
      <c r="L60" s="50">
        <v>0</v>
      </c>
      <c r="M60" s="49">
        <v>0</v>
      </c>
      <c r="N60" s="50">
        <f>SUM(MensalidadesEAssinaturas[[#This Row],[Janeiro]:[Dezembro]])</f>
        <v>0</v>
      </c>
      <c r="O60" s="49"/>
    </row>
    <row r="61" spans="1:15" ht="16" customHeight="1" x14ac:dyDescent="0.3">
      <c r="A61" s="2" t="s">
        <v>66</v>
      </c>
      <c r="B61" s="50">
        <v>0</v>
      </c>
      <c r="C61" s="49">
        <v>0</v>
      </c>
      <c r="D61" s="50">
        <v>0</v>
      </c>
      <c r="E61" s="49">
        <v>0</v>
      </c>
      <c r="F61" s="50">
        <v>0</v>
      </c>
      <c r="G61" s="49">
        <v>0</v>
      </c>
      <c r="H61" s="50">
        <v>0</v>
      </c>
      <c r="I61" s="49">
        <v>0</v>
      </c>
      <c r="J61" s="50">
        <v>0</v>
      </c>
      <c r="K61" s="49">
        <v>0</v>
      </c>
      <c r="L61" s="50">
        <v>0</v>
      </c>
      <c r="M61" s="49">
        <v>0</v>
      </c>
      <c r="N61" s="50">
        <f>SUM(MensalidadesEAssinaturas[[#This Row],[Janeiro]:[Dezembro]])</f>
        <v>0</v>
      </c>
      <c r="O61" s="46"/>
    </row>
    <row r="62" spans="1:15" ht="16" customHeight="1" x14ac:dyDescent="0.3">
      <c r="A62" s="2" t="s">
        <v>67</v>
      </c>
      <c r="B62" s="50">
        <v>0</v>
      </c>
      <c r="C62" s="49">
        <v>0</v>
      </c>
      <c r="D62" s="50">
        <v>0</v>
      </c>
      <c r="E62" s="49">
        <v>0</v>
      </c>
      <c r="F62" s="50">
        <v>0</v>
      </c>
      <c r="G62" s="49">
        <v>0</v>
      </c>
      <c r="H62" s="50">
        <v>0</v>
      </c>
      <c r="I62" s="49">
        <v>0</v>
      </c>
      <c r="J62" s="50">
        <v>0</v>
      </c>
      <c r="K62" s="49">
        <v>0</v>
      </c>
      <c r="L62" s="50">
        <v>0</v>
      </c>
      <c r="M62" s="49">
        <v>0</v>
      </c>
      <c r="N62" s="50">
        <f>SUM(MensalidadesEAssinaturas[[#This Row],[Janeiro]:[Dezembro]])</f>
        <v>0</v>
      </c>
      <c r="O62" s="49"/>
    </row>
    <row r="63" spans="1:15" ht="20.149999999999999" customHeight="1" thickBot="1" x14ac:dyDescent="0.35">
      <c r="A63" s="36" t="s">
        <v>1</v>
      </c>
      <c r="B63" s="51">
        <f>SUBTOTAL(109,MensalidadesEAssinaturas[Janeiro])</f>
        <v>653.6</v>
      </c>
      <c r="C63" s="48">
        <f>SUBTOTAL(109,MensalidadesEAssinaturas[Fevereiro])</f>
        <v>653.6</v>
      </c>
      <c r="D63" s="51">
        <f>SUBTOTAL(109,MensalidadesEAssinaturas[Março])</f>
        <v>653.6</v>
      </c>
      <c r="E63" s="48">
        <f>SUBTOTAL(109,MensalidadesEAssinaturas[Abr])</f>
        <v>653.6</v>
      </c>
      <c r="F63" s="51">
        <f>SUBTOTAL(109,MensalidadesEAssinaturas[Mai])</f>
        <v>653.6</v>
      </c>
      <c r="G63" s="48">
        <f>SUBTOTAL(109,MensalidadesEAssinaturas[Jun])</f>
        <v>653.6</v>
      </c>
      <c r="H63" s="51">
        <f>SUBTOTAL(109,MensalidadesEAssinaturas[Julho])</f>
        <v>653.6</v>
      </c>
      <c r="I63" s="48">
        <f>SUBTOTAL(109,MensalidadesEAssinaturas[Agosto])</f>
        <v>653.6</v>
      </c>
      <c r="J63" s="51">
        <f>SUBTOTAL(109,MensalidadesEAssinaturas[Setembro])</f>
        <v>653.6</v>
      </c>
      <c r="K63" s="48">
        <f>SUBTOTAL(109,MensalidadesEAssinaturas[Outubro])</f>
        <v>653.6</v>
      </c>
      <c r="L63" s="51">
        <f>SUBTOTAL(109,MensalidadesEAssinaturas[Novembro])</f>
        <v>0</v>
      </c>
      <c r="M63" s="48">
        <f>SUBTOTAL(109,MensalidadesEAssinaturas[Dezembro])</f>
        <v>0</v>
      </c>
      <c r="N63" s="51">
        <f>SUBTOTAL(109,MensalidadesEAssinaturas[Ano])</f>
        <v>6536.0000000000009</v>
      </c>
      <c r="O63" s="35"/>
    </row>
    <row r="64" spans="1:15" ht="21" customHeight="1" thickTop="1" x14ac:dyDescent="0.3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1:15" ht="16" customHeight="1" x14ac:dyDescent="0.3">
      <c r="A65" s="13" t="s">
        <v>16</v>
      </c>
      <c r="B65" s="27" t="s">
        <v>28</v>
      </c>
      <c r="C65" s="26" t="s">
        <v>30</v>
      </c>
      <c r="D65" s="27" t="s">
        <v>32</v>
      </c>
      <c r="E65" s="26" t="s">
        <v>34</v>
      </c>
      <c r="F65" s="27" t="s">
        <v>37</v>
      </c>
      <c r="G65" s="26" t="s">
        <v>39</v>
      </c>
      <c r="H65" s="27" t="s">
        <v>41</v>
      </c>
      <c r="I65" s="26" t="s">
        <v>43</v>
      </c>
      <c r="J65" s="27" t="s">
        <v>45</v>
      </c>
      <c r="K65" s="26" t="s">
        <v>47</v>
      </c>
      <c r="L65" s="27" t="s">
        <v>49</v>
      </c>
      <c r="M65" s="26" t="s">
        <v>51</v>
      </c>
      <c r="N65" s="27" t="s">
        <v>53</v>
      </c>
      <c r="O65" s="26" t="s">
        <v>54</v>
      </c>
    </row>
    <row r="66" spans="1:15" ht="16" customHeight="1" x14ac:dyDescent="0.3">
      <c r="A66" s="2" t="s">
        <v>17</v>
      </c>
      <c r="B66" s="50">
        <v>0</v>
      </c>
      <c r="C66" s="49">
        <v>0</v>
      </c>
      <c r="D66" s="50">
        <v>0</v>
      </c>
      <c r="E66" s="49">
        <v>0</v>
      </c>
      <c r="F66" s="50">
        <v>0</v>
      </c>
      <c r="G66" s="49">
        <v>0</v>
      </c>
      <c r="H66" s="50">
        <v>0</v>
      </c>
      <c r="I66" s="49">
        <v>0</v>
      </c>
      <c r="J66" s="50">
        <v>0</v>
      </c>
      <c r="K66" s="49">
        <v>0</v>
      </c>
      <c r="L66" s="50">
        <v>0</v>
      </c>
      <c r="M66" s="49">
        <v>0</v>
      </c>
      <c r="N66" s="50">
        <f>SUM(Pessoais[[#This Row],[Janeiro]:[Dezembro]])</f>
        <v>0</v>
      </c>
      <c r="O66" s="49"/>
    </row>
    <row r="67" spans="1:15" ht="16" customHeight="1" x14ac:dyDescent="0.3">
      <c r="A67" s="2" t="s">
        <v>18</v>
      </c>
      <c r="B67" s="50">
        <v>0</v>
      </c>
      <c r="C67" s="49">
        <v>0</v>
      </c>
      <c r="D67" s="50">
        <v>0</v>
      </c>
      <c r="E67" s="49">
        <v>0</v>
      </c>
      <c r="F67" s="50">
        <v>0</v>
      </c>
      <c r="G67" s="49">
        <v>0</v>
      </c>
      <c r="H67" s="50">
        <v>0</v>
      </c>
      <c r="I67" s="49">
        <v>0</v>
      </c>
      <c r="J67" s="50">
        <v>0</v>
      </c>
      <c r="K67" s="49">
        <v>0</v>
      </c>
      <c r="L67" s="50">
        <v>0</v>
      </c>
      <c r="M67" s="49">
        <v>0</v>
      </c>
      <c r="N67" s="50">
        <f>SUM(Pessoais[[#This Row],[Janeiro]:[Dezembro]])</f>
        <v>0</v>
      </c>
      <c r="O67" s="46"/>
    </row>
    <row r="68" spans="1:15" ht="16" customHeight="1" x14ac:dyDescent="0.3">
      <c r="A68" s="2" t="s">
        <v>19</v>
      </c>
      <c r="B68" s="50">
        <v>0</v>
      </c>
      <c r="C68" s="49">
        <v>0</v>
      </c>
      <c r="D68" s="50">
        <v>0</v>
      </c>
      <c r="E68" s="49">
        <v>0</v>
      </c>
      <c r="F68" s="50">
        <v>0</v>
      </c>
      <c r="G68" s="49">
        <v>0</v>
      </c>
      <c r="H68" s="50">
        <v>0</v>
      </c>
      <c r="I68" s="49">
        <v>0</v>
      </c>
      <c r="J68" s="50">
        <v>0</v>
      </c>
      <c r="K68" s="49">
        <v>0</v>
      </c>
      <c r="L68" s="50">
        <v>0</v>
      </c>
      <c r="M68" s="49">
        <v>0</v>
      </c>
      <c r="N68" s="50">
        <f>SUM(Pessoais[[#This Row],[Janeiro]:[Dezembro]])</f>
        <v>0</v>
      </c>
      <c r="O68" s="49"/>
    </row>
    <row r="69" spans="1:15" ht="16" customHeight="1" x14ac:dyDescent="0.3">
      <c r="A69" s="2" t="s">
        <v>20</v>
      </c>
      <c r="B69" s="50">
        <v>0</v>
      </c>
      <c r="C69" s="49">
        <v>0</v>
      </c>
      <c r="D69" s="50">
        <v>0</v>
      </c>
      <c r="E69" s="49">
        <v>0</v>
      </c>
      <c r="F69" s="50">
        <v>0</v>
      </c>
      <c r="G69" s="49">
        <v>0</v>
      </c>
      <c r="H69" s="50">
        <v>0</v>
      </c>
      <c r="I69" s="49">
        <v>0</v>
      </c>
      <c r="J69" s="50">
        <v>0</v>
      </c>
      <c r="K69" s="49">
        <v>0</v>
      </c>
      <c r="L69" s="50">
        <v>0</v>
      </c>
      <c r="M69" s="49">
        <v>0</v>
      </c>
      <c r="N69" s="50">
        <f>SUM(Pessoais[[#This Row],[Janeiro]:[Dezembro]])</f>
        <v>0</v>
      </c>
      <c r="O69" s="46"/>
    </row>
    <row r="70" spans="1:15" ht="21" customHeight="1" x14ac:dyDescent="0.3">
      <c r="A70" s="2" t="s">
        <v>21</v>
      </c>
      <c r="B70" s="50">
        <v>0</v>
      </c>
      <c r="C70" s="49">
        <v>0</v>
      </c>
      <c r="D70" s="50">
        <v>0</v>
      </c>
      <c r="E70" s="49">
        <v>0</v>
      </c>
      <c r="F70" s="50">
        <v>0</v>
      </c>
      <c r="G70" s="49">
        <v>0</v>
      </c>
      <c r="H70" s="50">
        <v>0</v>
      </c>
      <c r="I70" s="49">
        <v>0</v>
      </c>
      <c r="J70" s="50">
        <v>0</v>
      </c>
      <c r="K70" s="49">
        <v>0</v>
      </c>
      <c r="L70" s="50">
        <v>0</v>
      </c>
      <c r="M70" s="49">
        <v>0</v>
      </c>
      <c r="N70" s="50">
        <f>SUM(Pessoais[[#This Row],[Janeiro]:[Dezembro]])</f>
        <v>0</v>
      </c>
      <c r="O70" s="49"/>
    </row>
    <row r="71" spans="1:15" ht="20.149999999999999" customHeight="1" thickBot="1" x14ac:dyDescent="0.35">
      <c r="A71" s="36" t="s">
        <v>1</v>
      </c>
      <c r="B71" s="51">
        <f>SUBTOTAL(109,Pessoais[Janeiro])</f>
        <v>0</v>
      </c>
      <c r="C71" s="48">
        <f>SUBTOTAL(109,Pessoais[Fevereiro])</f>
        <v>0</v>
      </c>
      <c r="D71" s="51">
        <f>SUBTOTAL(109,Pessoais[Março])</f>
        <v>0</v>
      </c>
      <c r="E71" s="48">
        <f>SUBTOTAL(109,Pessoais[Abr])</f>
        <v>0</v>
      </c>
      <c r="F71" s="51">
        <f>SUBTOTAL(109,Pessoais[Mai])</f>
        <v>0</v>
      </c>
      <c r="G71" s="48">
        <f>SUBTOTAL(109,Pessoais[Jun])</f>
        <v>0</v>
      </c>
      <c r="H71" s="51">
        <f>SUBTOTAL(109,Pessoais[Julho])</f>
        <v>0</v>
      </c>
      <c r="I71" s="48">
        <f>SUBTOTAL(109,Pessoais[Agosto])</f>
        <v>0</v>
      </c>
      <c r="J71" s="51">
        <f>SUBTOTAL(109,Pessoais[Setembro])</f>
        <v>0</v>
      </c>
      <c r="K71" s="48">
        <f>SUBTOTAL(109,Pessoais[Outubro])</f>
        <v>0</v>
      </c>
      <c r="L71" s="51">
        <f>SUBTOTAL(109,Pessoais[Novembro])</f>
        <v>0</v>
      </c>
      <c r="M71" s="48">
        <f>SUBTOTAL(109,Pessoais[Dezembro])</f>
        <v>0</v>
      </c>
      <c r="N71" s="51">
        <f>SUBTOTAL(109,Pessoais[Ano])</f>
        <v>0</v>
      </c>
      <c r="O71" s="35"/>
    </row>
    <row r="72" spans="1:15" ht="21" customHeight="1" thickTop="1" x14ac:dyDescent="0.3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1:15" ht="16" customHeight="1" x14ac:dyDescent="0.3">
      <c r="A73" s="11" t="s">
        <v>22</v>
      </c>
      <c r="B73" s="38" t="s">
        <v>28</v>
      </c>
      <c r="C73" s="26" t="s">
        <v>30</v>
      </c>
      <c r="D73" s="38" t="s">
        <v>32</v>
      </c>
      <c r="E73" s="26" t="s">
        <v>34</v>
      </c>
      <c r="F73" s="38" t="s">
        <v>37</v>
      </c>
      <c r="G73" s="26" t="s">
        <v>39</v>
      </c>
      <c r="H73" s="38" t="s">
        <v>41</v>
      </c>
      <c r="I73" s="26" t="s">
        <v>43</v>
      </c>
      <c r="J73" s="38" t="s">
        <v>45</v>
      </c>
      <c r="K73" s="26" t="s">
        <v>47</v>
      </c>
      <c r="L73" s="38" t="s">
        <v>49</v>
      </c>
      <c r="M73" s="26" t="s">
        <v>51</v>
      </c>
      <c r="N73" s="38" t="s">
        <v>53</v>
      </c>
      <c r="O73" s="26" t="s">
        <v>54</v>
      </c>
    </row>
    <row r="74" spans="1:15" ht="16" customHeight="1" x14ac:dyDescent="0.3">
      <c r="A74" s="2" t="s">
        <v>82</v>
      </c>
      <c r="B74" s="44">
        <v>3464.98</v>
      </c>
      <c r="C74" s="49">
        <v>3207.1</v>
      </c>
      <c r="D74" s="44">
        <v>3330.2</v>
      </c>
      <c r="E74" s="49">
        <v>1236.8800000000001</v>
      </c>
      <c r="F74" s="44">
        <v>1443.29</v>
      </c>
      <c r="G74" s="49">
        <v>1011.29</v>
      </c>
      <c r="H74" s="44">
        <v>748.75</v>
      </c>
      <c r="I74" s="49">
        <v>1356.66</v>
      </c>
      <c r="J74" s="44">
        <v>553.84</v>
      </c>
      <c r="K74" s="49">
        <v>1385.01</v>
      </c>
      <c r="L74" s="44">
        <v>0</v>
      </c>
      <c r="M74" s="49">
        <v>0</v>
      </c>
      <c r="N74" s="44">
        <f>SUM(Financeiro[[#This Row],[Janeiro]:[Dezembro]])</f>
        <v>17738</v>
      </c>
      <c r="O74" s="49"/>
    </row>
    <row r="75" spans="1:15" ht="16" customHeight="1" x14ac:dyDescent="0.3">
      <c r="A75" s="2" t="s">
        <v>83</v>
      </c>
      <c r="B75" s="44">
        <v>0</v>
      </c>
      <c r="C75" s="49">
        <v>0</v>
      </c>
      <c r="D75" s="44">
        <v>0</v>
      </c>
      <c r="E75" s="49">
        <v>0</v>
      </c>
      <c r="F75" s="44">
        <v>0</v>
      </c>
      <c r="G75" s="49">
        <v>0</v>
      </c>
      <c r="H75" s="44">
        <v>0</v>
      </c>
      <c r="I75" s="49">
        <v>0</v>
      </c>
      <c r="J75" s="44">
        <v>0</v>
      </c>
      <c r="K75" s="49">
        <v>0</v>
      </c>
      <c r="L75" s="44">
        <v>0</v>
      </c>
      <c r="M75" s="49">
        <v>0</v>
      </c>
      <c r="N75" s="44">
        <f>SUM(Financeiro[[#This Row],[Janeiro]:[Dezembro]])</f>
        <v>0</v>
      </c>
      <c r="O75" s="54"/>
    </row>
    <row r="76" spans="1:15" ht="21" customHeight="1" x14ac:dyDescent="0.3">
      <c r="A76" s="2" t="s">
        <v>84</v>
      </c>
      <c r="B76" s="44">
        <v>0</v>
      </c>
      <c r="C76" s="49">
        <v>0</v>
      </c>
      <c r="D76" s="44">
        <v>0</v>
      </c>
      <c r="E76" s="49">
        <v>0</v>
      </c>
      <c r="F76" s="44">
        <v>0</v>
      </c>
      <c r="G76" s="49">
        <v>0</v>
      </c>
      <c r="H76" s="44">
        <v>0</v>
      </c>
      <c r="I76" s="49">
        <v>0</v>
      </c>
      <c r="J76" s="44">
        <v>0</v>
      </c>
      <c r="K76" s="49">
        <v>0</v>
      </c>
      <c r="L76" s="44">
        <v>0</v>
      </c>
      <c r="M76" s="49">
        <v>0</v>
      </c>
      <c r="N76" s="44">
        <f>SUM(Financeiro[[#This Row],[Janeiro]:[Dezembro]])</f>
        <v>0</v>
      </c>
      <c r="O76" s="54"/>
    </row>
    <row r="77" spans="1:15" ht="20.149999999999999" customHeight="1" thickBot="1" x14ac:dyDescent="0.35">
      <c r="A77" s="34" t="s">
        <v>1</v>
      </c>
      <c r="B77" s="47">
        <f>SUBTOTAL(109,Financeiro[Janeiro])</f>
        <v>3464.98</v>
      </c>
      <c r="C77" s="48">
        <f>SUBTOTAL(109,Financeiro[Fevereiro])</f>
        <v>3207.1</v>
      </c>
      <c r="D77" s="47">
        <f>SUBTOTAL(109,Financeiro[Março])</f>
        <v>3330.2</v>
      </c>
      <c r="E77" s="48">
        <f>SUBTOTAL(109,Financeiro[Abr])</f>
        <v>1236.8800000000001</v>
      </c>
      <c r="F77" s="47">
        <f>SUBTOTAL(109,Financeiro[Mai])</f>
        <v>1443.29</v>
      </c>
      <c r="G77" s="48">
        <f>SUBTOTAL(109,Financeiro[Jun])</f>
        <v>1011.29</v>
      </c>
      <c r="H77" s="47">
        <f>SUBTOTAL(109,Financeiro[Julho])</f>
        <v>748.75</v>
      </c>
      <c r="I77" s="48">
        <f>SUBTOTAL(109,Financeiro[Agosto])</f>
        <v>1356.66</v>
      </c>
      <c r="J77" s="47">
        <f>SUBTOTAL(109,Financeiro[Setembro])</f>
        <v>553.84</v>
      </c>
      <c r="K77" s="48">
        <f>SUBTOTAL(109,Financeiro[Outubro])</f>
        <v>1385.01</v>
      </c>
      <c r="L77" s="47">
        <f>SUBTOTAL(109,Financeiro[Novembro])</f>
        <v>0</v>
      </c>
      <c r="M77" s="48">
        <f>SUBTOTAL(109,Financeiro[Dezembro])</f>
        <v>0</v>
      </c>
      <c r="N77" s="47">
        <f>SUBTOTAL(109,Financeiro[Ano])</f>
        <v>17738</v>
      </c>
      <c r="O77" s="35"/>
    </row>
    <row r="78" spans="1:15" ht="21" customHeight="1" thickTop="1" x14ac:dyDescent="0.3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1:15" ht="16" customHeight="1" x14ac:dyDescent="0.3">
      <c r="A79" s="11" t="s">
        <v>68</v>
      </c>
      <c r="B79" s="38" t="s">
        <v>28</v>
      </c>
      <c r="C79" s="25" t="s">
        <v>30</v>
      </c>
      <c r="D79" s="38" t="s">
        <v>32</v>
      </c>
      <c r="E79" s="25" t="s">
        <v>34</v>
      </c>
      <c r="F79" s="38" t="s">
        <v>36</v>
      </c>
      <c r="G79" s="26" t="s">
        <v>39</v>
      </c>
      <c r="H79" s="38" t="s">
        <v>41</v>
      </c>
      <c r="I79" s="26" t="s">
        <v>43</v>
      </c>
      <c r="J79" s="38" t="s">
        <v>45</v>
      </c>
      <c r="K79" s="26" t="s">
        <v>47</v>
      </c>
      <c r="L79" s="38" t="s">
        <v>49</v>
      </c>
      <c r="M79" s="26" t="s">
        <v>51</v>
      </c>
      <c r="N79" s="38" t="s">
        <v>53</v>
      </c>
      <c r="O79" s="26" t="s">
        <v>54</v>
      </c>
    </row>
    <row r="80" spans="1:15" ht="16" customHeight="1" x14ac:dyDescent="0.3">
      <c r="A80" s="2" t="s">
        <v>85</v>
      </c>
      <c r="B80" s="44">
        <v>0</v>
      </c>
      <c r="C80" s="49">
        <v>0</v>
      </c>
      <c r="D80" s="44">
        <v>0</v>
      </c>
      <c r="E80" s="49">
        <v>0</v>
      </c>
      <c r="F80" s="44" t="e">
        <f>SUMIF(#REF!,Diversos[[#This Row],[APORTES]],#REF!)</f>
        <v>#REF!</v>
      </c>
      <c r="G80" s="49">
        <v>0</v>
      </c>
      <c r="H80" s="44">
        <v>0</v>
      </c>
      <c r="I80" s="49">
        <v>0</v>
      </c>
      <c r="J80" s="44">
        <v>0</v>
      </c>
      <c r="K80" s="49">
        <v>0</v>
      </c>
      <c r="L80" s="44">
        <v>0</v>
      </c>
      <c r="M80" s="49">
        <v>0</v>
      </c>
      <c r="N80" s="44">
        <v>0</v>
      </c>
      <c r="O80" s="49"/>
    </row>
    <row r="81" spans="1:15" ht="16" customHeight="1" x14ac:dyDescent="0.3">
      <c r="A81" s="2" t="s">
        <v>69</v>
      </c>
      <c r="B81" s="44">
        <v>0</v>
      </c>
      <c r="C81" s="49">
        <v>0</v>
      </c>
      <c r="D81" s="44">
        <v>0</v>
      </c>
      <c r="E81" s="49">
        <v>0</v>
      </c>
      <c r="F81" s="44" t="e">
        <f>SUMIF(#REF!,Diversos[[#This Row],[APORTES]],#REF!)</f>
        <v>#REF!</v>
      </c>
      <c r="G81" s="49">
        <v>0</v>
      </c>
      <c r="H81" s="44">
        <v>0</v>
      </c>
      <c r="I81" s="49">
        <v>0</v>
      </c>
      <c r="J81" s="44">
        <v>0</v>
      </c>
      <c r="K81" s="49">
        <v>0</v>
      </c>
      <c r="L81" s="44">
        <v>0</v>
      </c>
      <c r="M81" s="49">
        <v>0</v>
      </c>
      <c r="N81" s="44">
        <v>0</v>
      </c>
      <c r="O81" s="54"/>
    </row>
    <row r="82" spans="1:15" ht="16" customHeight="1" x14ac:dyDescent="0.3">
      <c r="A82" s="2" t="s">
        <v>56</v>
      </c>
      <c r="B82" s="44">
        <v>0</v>
      </c>
      <c r="C82" s="49">
        <v>0</v>
      </c>
      <c r="D82" s="44">
        <v>0</v>
      </c>
      <c r="E82" s="49">
        <v>0</v>
      </c>
      <c r="F82" s="44" t="e">
        <f>SUMIF(#REF!,Diversos[[#This Row],[APORTES]],#REF!)</f>
        <v>#REF!</v>
      </c>
      <c r="G82" s="49">
        <v>0</v>
      </c>
      <c r="H82" s="44">
        <v>0</v>
      </c>
      <c r="I82" s="49">
        <v>0</v>
      </c>
      <c r="J82" s="44">
        <v>0</v>
      </c>
      <c r="K82" s="49">
        <v>0</v>
      </c>
      <c r="L82" s="44">
        <v>0</v>
      </c>
      <c r="M82" s="49">
        <v>0</v>
      </c>
      <c r="N82" s="44">
        <v>0</v>
      </c>
      <c r="O82" s="46"/>
    </row>
    <row r="83" spans="1:15" ht="20.149999999999999" customHeight="1" thickBot="1" x14ac:dyDescent="0.35">
      <c r="A83" s="55" t="s">
        <v>1</v>
      </c>
      <c r="B83" s="56">
        <f>SUBTOTAL(109,Diversos[Janeiro])</f>
        <v>0</v>
      </c>
      <c r="C83" s="57">
        <f>SUBTOTAL(109,Diversos[Fevereiro])</f>
        <v>0</v>
      </c>
      <c r="D83" s="56">
        <f>SUBTOTAL(109,Diversos[Março])</f>
        <v>0</v>
      </c>
      <c r="E83" s="57">
        <f>SUBTOTAL(109,Diversos[Abr])</f>
        <v>0</v>
      </c>
      <c r="F83" s="56" t="e">
        <f>SUBTOTAL(109,Diversos[Maio])</f>
        <v>#REF!</v>
      </c>
      <c r="G83" s="57">
        <f>SUBTOTAL(109,Diversos[Jun])</f>
        <v>0</v>
      </c>
      <c r="H83" s="56">
        <f>SUBTOTAL(109,Diversos[Julho])</f>
        <v>0</v>
      </c>
      <c r="I83" s="57">
        <f>SUBTOTAL(109,Diversos[Agosto])</f>
        <v>0</v>
      </c>
      <c r="J83" s="56">
        <f>SUBTOTAL(109,Diversos[Setembro])</f>
        <v>0</v>
      </c>
      <c r="K83" s="57">
        <f>SUBTOTAL(109,Diversos[Outubro])</f>
        <v>0</v>
      </c>
      <c r="L83" s="56">
        <f>SUBTOTAL(109,Diversos[Novembro])</f>
        <v>0</v>
      </c>
      <c r="M83" s="57">
        <f>SUBTOTAL(109,Diversos[Dezembro])</f>
        <v>0</v>
      </c>
      <c r="N83" s="56">
        <f>SUBTOTAL(109,Diversos[Ano])</f>
        <v>0</v>
      </c>
      <c r="O83" s="58"/>
    </row>
    <row r="84" spans="1:15" ht="21" customHeight="1" thickTop="1" x14ac:dyDescent="0.3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1:15" ht="16" customHeight="1" x14ac:dyDescent="0.3">
      <c r="A85" s="14" t="s">
        <v>24</v>
      </c>
      <c r="B85" s="18" t="s">
        <v>27</v>
      </c>
      <c r="C85" s="15" t="s">
        <v>29</v>
      </c>
      <c r="D85" s="18" t="s">
        <v>31</v>
      </c>
      <c r="E85" s="15" t="s">
        <v>33</v>
      </c>
      <c r="F85" s="18" t="s">
        <v>35</v>
      </c>
      <c r="G85" s="15" t="s">
        <v>38</v>
      </c>
      <c r="H85" s="18" t="s">
        <v>40</v>
      </c>
      <c r="I85" s="15" t="s">
        <v>42</v>
      </c>
      <c r="J85" s="18" t="s">
        <v>44</v>
      </c>
      <c r="K85" s="15" t="s">
        <v>46</v>
      </c>
      <c r="L85" s="18" t="s">
        <v>48</v>
      </c>
      <c r="M85" s="15" t="s">
        <v>50</v>
      </c>
      <c r="N85" s="18" t="s">
        <v>52</v>
      </c>
      <c r="O85" s="37" t="s">
        <v>55</v>
      </c>
    </row>
    <row r="86" spans="1:15" ht="16" customHeight="1" x14ac:dyDescent="0.3">
      <c r="A86" s="16" t="s">
        <v>25</v>
      </c>
      <c r="B86" s="52">
        <f>SUM(Diversos[[#Totals],[Janeiro]],Financeiro[[#Totals],[Janeiro]],Pessoais[[#Totals],[Janeiro]],MensalidadesEAssinaturas[[#Totals],[Janeiro]],Lazer[[#Totals],[Janeiro]],Férias[[#Totals],[Janeiro]],Saúde[[#Totals],[Janeiro]],Entretenimento[[#Totals],[Janeiro]],Transporte[[#Totals],[Janeiro]],Diárias[[#Totals],[Janeiro]],Domésticas[[#Totals],[Janeiro]])</f>
        <v>8043.94</v>
      </c>
      <c r="C86" s="53">
        <f>SUM(Diversos[[#Totals],[Fevereiro]],Financeiro[[#Totals],[Fevereiro]],Pessoais[[#Totals],[Fevereiro]],MensalidadesEAssinaturas[[#Totals],[Fevereiro]],Lazer[[#Totals],[Fevereiro]],Férias[[#Totals],[Fevereiro]],Saúde[[#Totals],[Fevereiro]],Entretenimento[[#Totals],[Fevereiro]],Transporte[[#Totals],[Fevereiro]],Diárias[[#Totals],[Fevereiro]],Domésticas[[#Totals],[Fevereiro]])</f>
        <v>7799.5999999999995</v>
      </c>
      <c r="D86" s="52">
        <f>SUM(Diversos[[#Totals],[Março]],Financeiro[[#Totals],[Março]],Pessoais[[#Totals],[Março]],MensalidadesEAssinaturas[[#Totals],[Março]],Lazer[[#Totals],[Março]],Férias[[#Totals],[Março]],Saúde[[#Totals],[Março]],Entretenimento[[#Totals],[Março]],Transporte[[#Totals],[Março]],Diárias[[#Totals],[Março]],Domésticas[[#Totals],[Março]])</f>
        <v>8699.92</v>
      </c>
      <c r="E86" s="53">
        <f>SUM(Diversos[[#Totals],[Abr]],Financeiro[[#Totals],[Abr]],Pessoais[[#Totals],[Abr]],MensalidadesEAssinaturas[[#Totals],[Abr]],Lazer[[#Totals],[Abr]],Férias[[#Totals],[Abr]],Saúde[[#Totals],[Abr]],Entretenimento[[#Totals],[Abr]],Transporte[[#Totals],[Abr]],Diárias[[#Totals],[Abr]],Domésticas[[#Totals],[Abr]])</f>
        <v>6192.78</v>
      </c>
      <c r="F86" s="52" t="e">
        <f>SUM(Diversos[[#Totals],[Maio]],Financeiro[[#Totals],[Mai]],Pessoais[[#Totals],[Mai]],MensalidadesEAssinaturas[[#Totals],[Mai]],Lazer[[#Totals],[Mai]],Férias[[#Totals],[Mai]],Saúde[[#Totals],[Mai]],Entretenimento[[#Totals],[Mai]],Transporte[[#Totals],[Mai]],Diárias[[#Totals],[Mai]],Domésticas[[#Totals],[Mai]])</f>
        <v>#REF!</v>
      </c>
      <c r="G86" s="53">
        <f>SUM(Diversos[[#Totals],[Jun]],Financeiro[[#Totals],[Jun]],Pessoais[[#Totals],[Jun]],MensalidadesEAssinaturas[[#Totals],[Jun]],Lazer[[#Totals],[Jun]],Férias[[#Totals],[Jun]],Saúde[[#Totals],[Jun]],Entretenimento[[#Totals],[Jun]],Transporte[[#Totals],[Jun]],Diárias[[#Totals],[Jun]],Domésticas[[#Totals],[Jun]])</f>
        <v>6618.87</v>
      </c>
      <c r="H86" s="52">
        <f>SUM(Diversos[[#Totals],[Julho]],Financeiro[[#Totals],[Julho]],Pessoais[[#Totals],[Julho]],MensalidadesEAssinaturas[[#Totals],[Julho]],Lazer[[#Totals],[Julho]],Férias[[#Totals],[Julho]],Saúde[[#Totals],[Julho]],Entretenimento[[#Totals],[Julho]],Transporte[[#Totals],[Julho]],Diárias[[#Totals],[Julho]],Domésticas[[#Totals],[Julho]])</f>
        <v>5921.14</v>
      </c>
      <c r="I86" s="53">
        <f>SUM(Diversos[[#Totals],[Agosto]],Financeiro[[#Totals],[Agosto]],Pessoais[[#Totals],[Agosto]],MensalidadesEAssinaturas[[#Totals],[Agosto]],Lazer[[#Totals],[Agosto]],Férias[[#Totals],[Agosto]],Saúde[[#Totals],[Agosto]],Entretenimento[[#Totals],[Agosto]],Transporte[[#Totals],[Agosto]],Diárias[[#Totals],[Agosto]],Domésticas[[#Totals],[Agosto]])</f>
        <v>6441.22</v>
      </c>
      <c r="J86" s="52">
        <f>SUM(Diversos[[#Totals],[Setembro]],Financeiro[[#Totals],[Setembro]],Pessoais[[#Totals],[Setembro]],MensalidadesEAssinaturas[[#Totals],[Setembro]],Lazer[[#Totals],[Setembro]],Férias[[#Totals],[Setembro]],Saúde[[#Totals],[Setembro]],Entretenimento[[#Totals],[Setembro]],Transporte[[#Totals],[Setembro]],Diárias[[#Totals],[Setembro]],Domésticas[[#Totals],[Setembro]])</f>
        <v>5307.1</v>
      </c>
      <c r="K86" s="53">
        <f>SUM(Diversos[[#Totals],[Outubro]],Financeiro[[#Totals],[Outubro]],Pessoais[[#Totals],[Outubro]],MensalidadesEAssinaturas[[#Totals],[Outubro]],Lazer[[#Totals],[Outubro]],Férias[[#Totals],[Outubro]],Saúde[[#Totals],[Outubro]],Entretenimento[[#Totals],[Outubro]],Transporte[[#Totals],[Outubro]],Diárias[[#Totals],[Outubro]],Domésticas[[#Totals],[Outubro]])</f>
        <v>6679.47</v>
      </c>
      <c r="L86" s="52">
        <f>SUM(Diversos[[#Totals],[Novembro]],Financeiro[[#Totals],[Novembro]],Pessoais[[#Totals],[Novembro]],MensalidadesEAssinaturas[[#Totals],[Novembro]],Lazer[[#Totals],[Novembro]],Férias[[#Totals],[Novembro]],Saúde[[#Totals],[Novembro]],Entretenimento[[#Totals],[Novembro]],Transporte[[#Totals],[Novembro]],Diárias[[#Totals],[Novembro]],Domésticas[[#Totals],[Novembro]])</f>
        <v>2838.5299999999997</v>
      </c>
      <c r="M86" s="53">
        <f>SUM(Diversos[[#Totals],[Dezembro]],Financeiro[[#Totals],[Dezembro]],Pessoais[[#Totals],[Dezembro]],MensalidadesEAssinaturas[[#Totals],[Dezembro]],Lazer[[#Totals],[Dezembro]],Férias[[#Totals],[Dezembro]],Saúde[[#Totals],[Dezembro]],Entretenimento[[#Totals],[Dezembro]],Transporte[[#Totals],[Dezembro]],Diárias[[#Totals],[Dezembro]],Domésticas[[#Totals],[Dezembro]])</f>
        <v>0</v>
      </c>
      <c r="N86" s="52">
        <f>SUM(Diversos[[#Totals],[Ano]],Financeiro[[#Totals],[Ano]],Pessoais[[#Totals],[Ano]],MensalidadesEAssinaturas[[#Totals],[Ano]],Lazer[[#Totals],[Ano]],Férias[[#Totals],[Ano]],Saúde[[#Totals],[Ano]],Entretenimento[[#Totals],[Ano]],Transporte[[#Totals],[Ano]],Diárias[[#Totals],[Ano]],Domésticas[[#Totals],[Ano]])</f>
        <v>71609.350000000006</v>
      </c>
      <c r="O86" s="53"/>
    </row>
    <row r="87" spans="1:15" ht="8.15" customHeight="1" x14ac:dyDescent="0.3">
      <c r="A87" s="16" t="s">
        <v>26</v>
      </c>
      <c r="B87" s="52">
        <f>Receita[[#Totals],[Janeiro]]-B86</f>
        <v>3881.5200000000013</v>
      </c>
      <c r="C87" s="53">
        <f>Receita[[#Totals],[Fevereiro]]-C86</f>
        <v>-4494.24</v>
      </c>
      <c r="D87" s="52">
        <f>Receita[[#Totals],[Março]]-D86</f>
        <v>4554.84</v>
      </c>
      <c r="E87" s="53">
        <f>Receita[[#Totals],[Abr]]-E86</f>
        <v>11874.820000000003</v>
      </c>
      <c r="F87" s="52" t="e">
        <f>Receita[[#Totals],[Maio]]-F86</f>
        <v>#REF!</v>
      </c>
      <c r="G87" s="53">
        <f>Receita[[#Totals],[Jun]]-G86</f>
        <v>9228.130000000001</v>
      </c>
      <c r="H87" s="52">
        <f>Receita[[#Totals],[Julho]]-H86</f>
        <v>22100.93</v>
      </c>
      <c r="I87" s="53">
        <f>Receita[[#Totals],[Agosto]]-I86</f>
        <v>14556.419999999998</v>
      </c>
      <c r="J87" s="52">
        <f>Receita[[#Totals],[Setembro]]-J86</f>
        <v>12222.409999999998</v>
      </c>
      <c r="K87" s="53">
        <f>Receita[[#Totals],[Outubro]]-K86</f>
        <v>8123.0999999999995</v>
      </c>
      <c r="L87" s="52">
        <f>Receita[[#Totals],[Novembro]]-L86</f>
        <v>9783.0299999999988</v>
      </c>
      <c r="M87" s="53">
        <f>Receita[[#Totals],[Dezembro]]-M86</f>
        <v>0</v>
      </c>
      <c r="N87" s="52">
        <f>Receita[[#Totals],[Ano]]-N86</f>
        <v>107541.48999999999</v>
      </c>
      <c r="O87" s="53"/>
    </row>
    <row r="88" spans="1:15" ht="30" customHeight="1" x14ac:dyDescent="0.3">
      <c r="A88" s="17"/>
      <c r="B88" s="19"/>
      <c r="C88" s="17"/>
      <c r="D88" s="19"/>
      <c r="E88" s="17"/>
      <c r="F88" s="19"/>
      <c r="G88" s="17"/>
      <c r="H88" s="19"/>
      <c r="I88" s="17"/>
      <c r="J88" s="19"/>
      <c r="K88" s="17"/>
      <c r="L88" s="19"/>
      <c r="M88" s="17"/>
      <c r="N88" s="19"/>
      <c r="O88" s="17"/>
    </row>
  </sheetData>
  <mergeCells count="10">
    <mergeCell ref="A23:O23"/>
    <mergeCell ref="A84:O84"/>
    <mergeCell ref="A78:O78"/>
    <mergeCell ref="A72:O72"/>
    <mergeCell ref="A64:O64"/>
    <mergeCell ref="A54:O54"/>
    <mergeCell ref="A47:O47"/>
    <mergeCell ref="A39:O39"/>
    <mergeCell ref="A34:O34"/>
    <mergeCell ref="A28:O28"/>
  </mergeCells>
  <conditionalFormatting sqref="B83:M83">
    <cfRule type="cellIs" dxfId="2" priority="1" operator="lessThan">
      <formula>#REF!</formula>
    </cfRule>
    <cfRule type="cellIs" dxfId="1" priority="2" operator="greaterThan">
      <formula>#REF!</formula>
    </cfRule>
  </conditionalFormatting>
  <conditionalFormatting sqref="B87:N87">
    <cfRule type="cellIs" dxfId="0" priority="6" operator="lessThan">
      <formula>0</formula>
    </cfRule>
  </conditionalFormatting>
  <printOptions horizontalCentered="1"/>
  <pageMargins left="0.4" right="0.4" top="0.4" bottom="0.4" header="0.3" footer="0.3"/>
  <pageSetup paperSize="9" fitToHeight="0" orientation="landscape" r:id="rId1"/>
  <headerFooter differentFirst="1">
    <oddFooter>Page &amp;P of &amp;N</oddFooter>
  </headerFooter>
  <ignoredErrors>
    <ignoredError sqref="C86 D86:N86" calculatedColumn="1"/>
    <ignoredError sqref="N25 N30:N32 N37 N41:N45 N66:N70 N74 N58:N59 N56 N14:N15 N49:N52 N19:N21 N36 N13 N26 N60:N62" emptyCellReference="1"/>
  </ignoredErrors>
  <legacyDrawing r:id="rId2"/>
  <tableParts count="13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00000000-0003-0000-0100-000003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'ORÇAMENTO PESSOAL'!B19:M19</xm:f>
              <xm:sqref>O19</xm:sqref>
            </x14:sparkline>
            <x14:sparkline>
              <xm:f>'ORÇAMENTO PESSOAL'!B20:M20</xm:f>
              <xm:sqref>O20</xm:sqref>
            </x14:sparkline>
            <x14:sparkline>
              <xm:f>'ORÇAMENTO PESSOAL'!B21:M21</xm:f>
              <xm:sqref>O21</xm:sqref>
            </x14:sparkline>
            <x14:sparkline>
              <xm:f>'ORÇAMENTO PESSOAL'!B22:M22</xm:f>
              <xm:sqref>O22</xm:sqref>
            </x14:sparkline>
          </x14:sparklines>
        </x14:sparklineGroup>
        <x14:sparklineGroup displayEmptyCellsAs="gap" high="1" low="1" xr2:uid="{00000000-0003-0000-0100-00000D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'ORÇAMENTO PESSOAL'!B80:M80</xm:f>
              <xm:sqref>O80</xm:sqref>
            </x14:sparkline>
            <x14:sparkline>
              <xm:f>'ORÇAMENTO PESSOAL'!B81:M81</xm:f>
              <xm:sqref>O81</xm:sqref>
            </x14:sparkline>
            <x14:sparkline>
              <xm:f>'ORÇAMENTO PESSOAL'!B82:M82</xm:f>
              <xm:sqref>O82</xm:sqref>
            </x14:sparkline>
            <x14:sparkline>
              <xm:f>'ORÇAMENTO PESSOAL'!B83:M83</xm:f>
              <xm:sqref>O83</xm:sqref>
            </x14:sparkline>
          </x14:sparklines>
        </x14:sparklineGroup>
        <x14:sparklineGroup displayEmptyCellsAs="gap" high="1" low="1" xr2:uid="{00000000-0003-0000-0100-00000B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'ORÇAMENTO PESSOAL'!B74:M74</xm:f>
              <xm:sqref>O74</xm:sqref>
            </x14:sparkline>
            <x14:sparkline>
              <xm:f>'ORÇAMENTO PESSOAL'!B75:M75</xm:f>
              <xm:sqref>O75</xm:sqref>
            </x14:sparkline>
            <x14:sparkline>
              <xm:f>'ORÇAMENTO PESSOAL'!B76:M76</xm:f>
              <xm:sqref>O76</xm:sqref>
            </x14:sparkline>
            <x14:sparkline>
              <xm:f>'ORÇAMENTO PESSOAL'!B77:M77</xm:f>
              <xm:sqref>O77</xm:sqref>
            </x14:sparkline>
          </x14:sparklines>
        </x14:sparklineGroup>
        <x14:sparklineGroup displayEmptyCellsAs="gap" high="1" low="1" xr2:uid="{00000000-0003-0000-0100-00000A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'ORÇAMENTO PESSOAL'!B66:M66</xm:f>
              <xm:sqref>O66</xm:sqref>
            </x14:sparkline>
            <x14:sparkline>
              <xm:f>'ORÇAMENTO PESSOAL'!B67:M67</xm:f>
              <xm:sqref>O67</xm:sqref>
            </x14:sparkline>
            <x14:sparkline>
              <xm:f>'ORÇAMENTO PESSOAL'!B68:M68</xm:f>
              <xm:sqref>O68</xm:sqref>
            </x14:sparkline>
            <x14:sparkline>
              <xm:f>'ORÇAMENTO PESSOAL'!B69:M69</xm:f>
              <xm:sqref>O69</xm:sqref>
            </x14:sparkline>
            <x14:sparkline>
              <xm:f>'ORÇAMENTO PESSOAL'!B70:M70</xm:f>
              <xm:sqref>O70</xm:sqref>
            </x14:sparkline>
            <x14:sparkline>
              <xm:f>'ORÇAMENTO PESSOAL'!B71:M71</xm:f>
              <xm:sqref>O71</xm:sqref>
            </x14:sparkline>
          </x14:sparklines>
        </x14:sparklineGroup>
        <x14:sparklineGroup displayEmptyCellsAs="gap" high="1" low="1" xr2:uid="{00000000-0003-0000-0100-000009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'ORÇAMENTO PESSOAL'!B56:M56</xm:f>
              <xm:sqref>O56</xm:sqref>
            </x14:sparkline>
            <x14:sparkline>
              <xm:f>'ORÇAMENTO PESSOAL'!B57:M57</xm:f>
              <xm:sqref>O57</xm:sqref>
            </x14:sparkline>
            <x14:sparkline>
              <xm:f>'ORÇAMENTO PESSOAL'!B58:M58</xm:f>
              <xm:sqref>O58</xm:sqref>
            </x14:sparkline>
            <x14:sparkline>
              <xm:f>'ORÇAMENTO PESSOAL'!B59:M59</xm:f>
              <xm:sqref>O59</xm:sqref>
            </x14:sparkline>
            <x14:sparkline>
              <xm:f>'ORÇAMENTO PESSOAL'!B60:M60</xm:f>
              <xm:sqref>O60</xm:sqref>
            </x14:sparkline>
            <x14:sparkline>
              <xm:f>'ORÇAMENTO PESSOAL'!B61:M61</xm:f>
              <xm:sqref>O61</xm:sqref>
            </x14:sparkline>
            <x14:sparkline>
              <xm:f>'ORÇAMENTO PESSOAL'!B62:M62</xm:f>
              <xm:sqref>O62</xm:sqref>
            </x14:sparkline>
            <x14:sparkline>
              <xm:f>'ORÇAMENTO PESSOAL'!B63:M63</xm:f>
              <xm:sqref>O63</xm:sqref>
            </x14:sparkline>
          </x14:sparklines>
        </x14:sparklineGroup>
        <x14:sparklineGroup displayEmptyCellsAs="gap" high="1" low="1" xr2:uid="{00000000-0003-0000-0100-000008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'ORÇAMENTO PESSOAL'!B49:M49</xm:f>
              <xm:sqref>O49</xm:sqref>
            </x14:sparkline>
            <x14:sparkline>
              <xm:f>'ORÇAMENTO PESSOAL'!B50:M50</xm:f>
              <xm:sqref>O50</xm:sqref>
            </x14:sparkline>
            <x14:sparkline>
              <xm:f>'ORÇAMENTO PESSOAL'!B51:M51</xm:f>
              <xm:sqref>O51</xm:sqref>
            </x14:sparkline>
            <x14:sparkline>
              <xm:f>'ORÇAMENTO PESSOAL'!B52:M52</xm:f>
              <xm:sqref>O52</xm:sqref>
            </x14:sparkline>
            <x14:sparkline>
              <xm:f>'ORÇAMENTO PESSOAL'!B53:M53</xm:f>
              <xm:sqref>O53</xm:sqref>
            </x14:sparkline>
          </x14:sparklines>
        </x14:sparklineGroup>
        <x14:sparklineGroup displayEmptyCellsAs="gap" high="1" low="1" xr2:uid="{00000000-0003-0000-0100-000007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'ORÇAMENTO PESSOAL'!B41:M41</xm:f>
              <xm:sqref>O41</xm:sqref>
            </x14:sparkline>
            <x14:sparkline>
              <xm:f>'ORÇAMENTO PESSOAL'!B42:M42</xm:f>
              <xm:sqref>O42</xm:sqref>
            </x14:sparkline>
            <x14:sparkline>
              <xm:f>'ORÇAMENTO PESSOAL'!B43:M43</xm:f>
              <xm:sqref>O43</xm:sqref>
            </x14:sparkline>
            <x14:sparkline>
              <xm:f>'ORÇAMENTO PESSOAL'!B44:M44</xm:f>
              <xm:sqref>O44</xm:sqref>
            </x14:sparkline>
            <x14:sparkline>
              <xm:f>'ORÇAMENTO PESSOAL'!B45:M45</xm:f>
              <xm:sqref>O45</xm:sqref>
            </x14:sparkline>
            <x14:sparkline>
              <xm:f>'ORÇAMENTO PESSOAL'!B46:M46</xm:f>
              <xm:sqref>O46</xm:sqref>
            </x14:sparkline>
          </x14:sparklines>
        </x14:sparklineGroup>
        <x14:sparklineGroup displayEmptyCellsAs="gap" high="1" low="1" xr2:uid="{00000000-0003-0000-0100-000006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'ORÇAMENTO PESSOAL'!B36:M36</xm:f>
              <xm:sqref>O36</xm:sqref>
            </x14:sparkline>
            <x14:sparkline>
              <xm:f>'ORÇAMENTO PESSOAL'!B37:M37</xm:f>
              <xm:sqref>O37</xm:sqref>
            </x14:sparkline>
            <x14:sparkline>
              <xm:f>'ORÇAMENTO PESSOAL'!B38:M38</xm:f>
              <xm:sqref>O38</xm:sqref>
            </x14:sparkline>
          </x14:sparklines>
        </x14:sparklineGroup>
        <x14:sparklineGroup displayEmptyCellsAs="gap" high="1" low="1" xr2:uid="{00000000-0003-0000-0100-000005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'ORÇAMENTO PESSOAL'!B30:M30</xm:f>
              <xm:sqref>O30</xm:sqref>
            </x14:sparkline>
            <x14:sparkline>
              <xm:f>'ORÇAMENTO PESSOAL'!B31:M31</xm:f>
              <xm:sqref>O31</xm:sqref>
            </x14:sparkline>
            <x14:sparkline>
              <xm:f>'ORÇAMENTO PESSOAL'!B32:M32</xm:f>
              <xm:sqref>O32</xm:sqref>
            </x14:sparkline>
            <x14:sparkline>
              <xm:f>'ORÇAMENTO PESSOAL'!B33:M33</xm:f>
              <xm:sqref>O33</xm:sqref>
            </x14:sparkline>
          </x14:sparklines>
        </x14:sparklineGroup>
        <x14:sparklineGroup displayEmptyCellsAs="gap" high="1" low="1" xr2:uid="{00000000-0003-0000-0100-000004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'ORÇAMENTO PESSOAL'!B25:M25</xm:f>
              <xm:sqref>O25</xm:sqref>
            </x14:sparkline>
            <x14:sparkline>
              <xm:f>'ORÇAMENTO PESSOAL'!B26:M26</xm:f>
              <xm:sqref>O26</xm:sqref>
            </x14:sparkline>
            <x14:sparkline>
              <xm:f>'ORÇAMENTO PESSOAL'!B27:M27</xm:f>
              <xm:sqref>O27</xm:sqref>
            </x14:sparkline>
          </x14:sparklines>
        </x14:sparklineGroup>
        <x14:sparklineGroup displayEmptyCellsAs="gap" high="1" low="1" xr2:uid="{00000000-0003-0000-0100-00000C000000}">
          <x14:colorSeries theme="0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'ORÇAMENTO PESSOAL'!B86:M86</xm:f>
              <xm:sqref>O86</xm:sqref>
            </x14:sparkline>
            <x14:sparkline>
              <xm:f>'ORÇAMENTO PESSOAL'!B87:M87</xm:f>
              <xm:sqref>O87</xm:sqref>
            </x14:sparkline>
          </x14:sparklines>
        </x14:sparklineGroup>
        <x14:sparklineGroup displayEmptyCellsAs="gap" high="1" low="1" xr2:uid="{00000000-0003-0000-0100-000002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'ORÇAMENTO PESSOAL'!B12:M12</xm:f>
              <xm:sqref>O12</xm:sqref>
            </x14:sparkline>
          </x14:sparklines>
        </x14:sparklineGroup>
        <x14:sparklineGroup displayEmptyCellsAs="gap" high="1" low="1" xr2:uid="{00000000-0003-0000-0100-000001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'ORÇAMENTO PESSOAL'!B4:M4</xm:f>
              <xm:sqref>O4</xm:sqref>
            </x14:sparkline>
            <x14:sparkline>
              <xm:f>'ORÇAMENTO PESSOAL'!B5:M5</xm:f>
              <xm:sqref>O5</xm:sqref>
            </x14:sparkline>
            <x14:sparkline>
              <xm:f>'ORÇAMENTO PESSOAL'!B6:M6</xm:f>
              <xm:sqref>O6</xm:sqref>
            </x14:sparkline>
            <x14:sparkline>
              <xm:f>'ORÇAMENTO PESSOAL'!B7:M7</xm:f>
              <xm:sqref>O7</xm:sqref>
            </x14:sparkline>
            <x14:sparkline>
              <xm:f>'ORÇAMENTO PESSOAL'!B8:M8</xm:f>
              <xm:sqref>O8</xm:sqref>
            </x14:sparkline>
          </x14:sparklines>
        </x14:sparklineGroup>
        <x14:sparklineGroup displayEmptyCellsAs="gap" high="1" low="1" xr2:uid="{00000000-0003-0000-0100-000000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'ORÇAMENTO PESSOAL'!B13:M13</xm:f>
              <xm:sqref>O13</xm:sqref>
            </x14:sparkline>
            <x14:sparkline>
              <xm:f>'ORÇAMENTO PESSOAL'!B14:M14</xm:f>
              <xm:sqref>O14</xm:sqref>
            </x14:sparkline>
            <x14:sparkline>
              <xm:f>'ORÇAMENTO PESSOAL'!B15:M15</xm:f>
              <xm:sqref>O15</xm:sqref>
            </x14:sparkline>
            <x14:sparkline>
              <xm:f>'ORÇAMENTO PESSOAL'!B16:M16</xm:f>
              <xm:sqref>O16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TM04035483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PESSOAL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Rodrigo Rosa</dc:creator>
  <cp:lastModifiedBy>Rodrigo Rosa</cp:lastModifiedBy>
  <dcterms:created xsi:type="dcterms:W3CDTF">2018-06-21T11:23:21Z</dcterms:created>
  <dcterms:modified xsi:type="dcterms:W3CDTF">2025-11-16T01:19:02Z</dcterms:modified>
</cp:coreProperties>
</file>